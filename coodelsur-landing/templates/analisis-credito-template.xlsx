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comments1.xml" ContentType="application/vnd.openxmlformats-officedocument.spreadsheetml.comments+xml"/>
  <Override PartName="/xl/threadedComments/threadedComment1.xml" ContentType="application/vnd.ms-excel.threadedcomments+xml"/>
  <Override PartName="/xl/metadata.xml" ContentType="application/vnd.openxmlformats-officedocument.spreadsheetml.sheetMetadata+xml"/>
  <Override PartName="/xl/persons/person.xml" ContentType="application/vnd.ms-excel.person+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defaultThemeVersion="124226"/>
  <sheets>
    <sheet name="Simulador" sheetId="1" r:id="rId1"/>
    <sheet name="Plan de pagos" sheetId="2" r:id="rId2"/>
    <sheet name="Flujo Empleado" sheetId="3" r:id="rId3"/>
    <sheet name="Analisis" sheetId="4" r:id="rId4"/>
    <sheet name="Guion" sheetId="5" r:id="rId5"/>
    <sheet name="Preguntas_Reto" sheetId="6" r:id="rId6" state="hidden"/>
    <sheet name="Referenciación" sheetId="7" r:id="rId7"/>
    <sheet name="Fotos" sheetId="8" r:id="rId8"/>
    <sheet name="Preguntas reto" sheetId="9" r:id="rId9"/>
    <sheet name="ListaDepegable" sheetId="10" r:id="rId10"/>
    <sheet name="Evidencia Fotografica" sheetId="11" r:id="rId11" state="hidden"/>
  </sheets>
  <definedNames>
    <definedName name="_xlnm.Print_Area" localSheetId="3">Analisis!$A$1:$H$32</definedName>
    <definedName name="_xlnm.Print_Area" localSheetId="10">'Evidencia Fotografica'!$A$1:$H$87</definedName>
    <definedName name="_xlnm.Print_Area" localSheetId="2">'Flujo Empleado'!$A$1:$F$68</definedName>
    <definedName name="_xlnm.Print_Area" localSheetId="1">'Plan de pagos'!$A$1:$P$25</definedName>
    <definedName name="Modalidad" localSheetId="3">#REF!</definedName>
    <definedName name="Modalidad" localSheetId="2">#REF!</definedName>
    <definedName name="Modalidad" localSheetId="7">#REF!</definedName>
    <definedName name="Modalidad" localSheetId="8">'[1]Plan de pagos'!$R$13:$R$14</definedName>
    <definedName name="Modalidad" localSheetId="5">#REF!</definedName>
    <definedName name="Modalidad">'Plan de pagos'!$R$13:$R$14</definedName>
    <definedName name="_xlnm.Print_Titles" localSheetId="10">'Evidencia Fotografica'!$2:$6</definedName>
    <definedName name="_xlnm.Print_Titles" localSheetId="1">'Plan de pagos'!$17:$17</definedName>
  </definedNames>
</workbook>
</file>

<file path=xl/comments1.xml><?xml version="1.0" encoding="utf-8"?>
<comments xmlns="http://schemas.openxmlformats.org/spreadsheetml/2006/main">
  <authors>
    <author>Daniela Arias</author>
    <author>tc={54EE7951-7262-4200-6969-000000000000}</author>
    <author>tc={54EE7951-7262-4200-6969-000000000001}</author>
    <author>tc={54EE7951-7262-4200-6969-000000000002}</author>
    <author>tc={54EE7951-7262-4200-6969-000000000003}</author>
    <author>tc={54EE7951-7262-4200-6969-000000000004}</author>
    <author>tc={54EE7951-7262-4200-6969-000000000005}</author>
    <author>tc={54EE7951-7262-4200-6969-000000000006}</author>
  </authors>
  <commentList>
    <comment ref="B16" authorId="1">
      <text>
        <t/>
      </text>
    </comment>
    <comment ref="B17" authorId="2">
      <text>
        <t/>
      </text>
    </comment>
    <comment ref="B18" authorId="3">
      <text>
        <t/>
      </text>
    </comment>
    <comment ref="B19" authorId="4">
      <text>
        <t/>
      </text>
    </comment>
    <comment ref="B20" authorId="5">
      <text>
        <t/>
      </text>
    </comment>
    <comment ref="B21" authorId="6">
      <text>
        <t/>
      </text>
    </comment>
    <comment ref="B22" authorId="7">
      <text>
        <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mc="http://schemas.openxmlformats.org/markup-compatibility/2006" xmlns:x14ac="http://schemas.microsoft.com/office/spreadsheetml/2009/9/ac" xmlns="http://schemas.openxmlformats.org/spreadsheetml/2006/main" mc:Ignorable="x14ac">
  <numFmts count="23">
    <numFmt numFmtId="165" formatCode="_ &quot;$&quot;\ * #,##0_ ;_ &quot;$&quot;\ * \-#,##0_ ;_ &quot;$&quot;\ * &quot;-&quot;??_ ;_ @_ "/>
    <numFmt numFmtId="166" formatCode="_-&quot;$&quot;* #,##0_-;\-&quot;$&quot;* #,##0_-;_-&quot;$&quot;* &quot;-&quot;??_-;_-@_-"/>
    <numFmt numFmtId="167" formatCode="_-&quot;$&quot;* #,##0_-;\-&quot;$&quot;* #,##0_-;_-&quot;$&quot;* &quot;-&quot;??_-;_-@_-"/>
    <numFmt numFmtId="168" formatCode="_-&quot;$&quot;* #,##0_-;\-&quot;$&quot;* #,##0_-;_-&quot;$&quot;* &quot;-&quot;??_-;_-@_-"/>
    <numFmt numFmtId="169" formatCode="_ &quot;$&quot;\ * #,##0_ ;_ &quot;$&quot;\ * \-#,##0_ ;_ &quot;$&quot;\ * &quot;-&quot;??_ ;_ @_ "/>
    <numFmt numFmtId="170" formatCode="_-&quot;$&quot;* #,##0_-;\-&quot;$&quot;* #,##0_-;_-&quot;$&quot;* &quot;-&quot;_-;_-@_-"/>
    <numFmt numFmtId="171" formatCode="_ &quot;$&quot;\ * #,##0_ ;_ &quot;$&quot;\ * \-#,##0_ ;_ &quot;$&quot;\ * &quot;-&quot;??_ ;_ @_ "/>
    <numFmt numFmtId="172" formatCode="_(&quot;$&quot;\ * #,##0_);_(&quot;$&quot;\ * \(#,##0\);_(&quot;$&quot;\ * &quot;-&quot;??_);_(@_)"/>
    <numFmt numFmtId="173" formatCode="_(&quot;$&quot;\ * #,##0_);_(&quot;$&quot;\ * \(#,##0\);_(&quot;$&quot;\ * &quot;-&quot;??_);_(@_)"/>
    <numFmt numFmtId="174" formatCode="mmm"/>
    <numFmt numFmtId="175" formatCode="_ &quot;$&quot;\ * #,##0_ ;_ &quot;$&quot;\ * \-#,##0_ ;_ &quot;$&quot;\ * &quot;-&quot;??_ ;_ @_ "/>
    <numFmt numFmtId="176" formatCode="_ &quot;$&quot;\ * #,##0_ ;_ &quot;$&quot;\ * \-#,##0_ ;_ &quot;$&quot;\ * &quot;-&quot;??_ ;_ @_ "/>
    <numFmt numFmtId="177" formatCode="_-* #,##0_-;\-* #,##0_-;_-* &quot;-&quot;??_-;_-@_-"/>
    <numFmt numFmtId="178" formatCode="_-* #,##0_-;\-* #,##0_-;_-* &quot;-&quot;??_-;_-@_-"/>
    <numFmt numFmtId="179" formatCode="0.0%"/>
    <numFmt numFmtId="180" formatCode="_-* #,##0_-;\-* #,##0_-;_-* &quot;-&quot;??_-;_-@_-"/>
    <numFmt numFmtId="181" formatCode="_-&quot;$&quot;* #,##0_-;\-&quot;$&quot;* #,##0_-;_-&quot;$&quot;* &quot;-&quot;??_-;_-@_-"/>
    <numFmt numFmtId="182" formatCode="0.0%"/>
    <numFmt numFmtId="183" formatCode="_-* #,##0_-;\-* #,##0_-;_-* &quot;-&quot;??_-;_-@_-"/>
    <numFmt numFmtId="184" formatCode="_-&quot;$&quot;* #,##0_-;\-&quot;$&quot;* #,##0_-;_-&quot;$&quot;* &quot;-&quot;??_-;_-@_-"/>
    <numFmt numFmtId="185" formatCode="_-* #,##0.0_-;\-* #,##0.0_-;_-* &quot;-&quot;??_-;_-@_-"/>
    <numFmt numFmtId="186" formatCode="yyyy"/>
    <numFmt numFmtId="187" formatCode="_-* #,##0.00_-;\-* #,##0.00_-;_-* &quot;-&quot;??_-;_-@_-"/>
  </numFmts>
  <fonts count="2" x14ac:knownFonts="1">
    <font>
      <sz val="11"/>
      <name val="Calibri"/>
    </font>
    <font>
      <sz val="11"/>
      <name val="Calibri"/>
    </font>
  </fonts>
  <fills count="2">
    <fill>
      <patternFill patternType="none">
        <bgColor/>
      </patternFill>
    </fill>
    <fill>
      <patternFill patternType="gray125">
        <bgColor/>
      </patternFill>
    </fill>
  </fills>
  <borders count="2">
    <border>
      <left/>
      <right/>
      <top/>
      <bottom/>
      <diagonal/>
    </border>
    <border>
      <left/>
      <right/>
      <top/>
      <bottom/>
      <diagonal/>
    </border>
  </borders>
  <cellStyleXfs>
    <xf numFmtId="0" fontId="0" fillId="0" borderId="0"/>
  </cellStyleXfs>
  <cellXfs count="49">
    <xf numFmtId="0" fontId="0" fillId="0" borderId="0" xfId="0"/>
    <xf numFmtId="0" fontId="1" fillId="1" borderId="1" xfId="0" applyFont="1" applyFill="1" applyBorder="1"/>
    <xf numFmtId="0" fontId="0" fillId="0" borderId="0" xfId="0"/>
    <xf numFmtId="0" fontId="0" fillId="0" borderId="0" xfId="0"/>
    <xf numFmtId="0" fontId="0" fillId="0" borderId="0" xfId="0"/>
    <xf numFmtId="165" fontId="0" fillId="0" borderId="0" xfId="0" applyNumberFormat="1"/>
    <xf numFmtId="0" fontId="0" fillId="0" borderId="0" xfId="0"/>
    <xf numFmtId="166" fontId="0" fillId="0" borderId="0" xfId="0" applyNumberFormat="1"/>
    <xf numFmtId="3" fontId="0" fillId="0" borderId="0" xfId="0" applyNumberFormat="1"/>
    <xf numFmtId="0" fontId="0" fillId="0" borderId="0" xfId="0"/>
    <xf numFmtId="167" fontId="0" fillId="0" borderId="0" xfId="0" applyNumberFormat="1"/>
    <xf numFmtId="168" fontId="0" fillId="0" borderId="0" xfId="0" applyNumberFormat="1"/>
    <xf numFmtId="169" fontId="0" fillId="0" borderId="0" xfId="0" applyNumberFormat="1"/>
    <xf numFmtId="0" fontId="0" fillId="0" borderId="0" xfId="0"/>
    <xf numFmtId="0" fontId="0" fillId="0" borderId="0" xfId="0"/>
    <xf numFmtId="0" fontId="0" fillId="0" borderId="0" xfId="0"/>
    <xf numFmtId="4" fontId="0" fillId="0" borderId="0" xfId="0" applyNumberFormat="1"/>
    <xf numFmtId="10" fontId="0" fillId="0" borderId="0" xfId="0" applyNumberFormat="1"/>
    <xf numFmtId="10" fontId="0" fillId="0" borderId="0" xfId="0" applyNumberFormat="1"/>
    <xf numFmtId="1" fontId="0" fillId="0" borderId="0" xfId="0" applyNumberFormat="1"/>
    <xf numFmtId="1" fontId="0" fillId="0" borderId="0" xfId="0" applyNumberFormat="1"/>
    <xf numFmtId="170" fontId="0" fillId="0" borderId="0" xfId="0" applyNumberFormat="1"/>
    <xf numFmtId="0" fontId="0" fillId="0" borderId="0" xfId="0"/>
    <xf numFmtId="171" fontId="0" fillId="0" borderId="0" xfId="0" applyNumberFormat="1"/>
    <xf numFmtId="172" fontId="0" fillId="0" borderId="0" xfId="0" applyNumberFormat="1"/>
    <xf numFmtId="173" fontId="0" fillId="0" borderId="0" xfId="0" applyNumberFormat="1"/>
    <xf numFmtId="174" fontId="0" fillId="0" borderId="0" xfId="0" applyNumberFormat="1"/>
    <xf numFmtId="1" fontId="0" fillId="0" borderId="0" xfId="0" applyNumberFormat="1"/>
    <xf numFmtId="175" fontId="0" fillId="0" borderId="0" xfId="0" applyNumberFormat="1"/>
    <xf numFmtId="176" fontId="0" fillId="0" borderId="0" xfId="0" applyNumberFormat="1"/>
    <xf numFmtId="0" fontId="0" fillId="0" borderId="0" xfId="0"/>
    <xf numFmtId="177" fontId="0" fillId="0" borderId="0" xfId="0" applyNumberFormat="1"/>
    <xf numFmtId="178" fontId="0" fillId="0" borderId="0" xfId="0" applyNumberFormat="1"/>
    <xf numFmtId="179" fontId="0" fillId="0" borderId="0" xfId="0" applyNumberFormat="1"/>
    <xf numFmtId="180" fontId="0" fillId="0" borderId="0" xfId="0" applyNumberFormat="1"/>
    <xf numFmtId="181" fontId="0" fillId="0" borderId="0" xfId="0" applyNumberFormat="1"/>
    <xf numFmtId="182" fontId="0" fillId="0" borderId="0" xfId="0" applyNumberFormat="1"/>
    <xf numFmtId="183" fontId="0" fillId="0" borderId="0" xfId="0" applyNumberFormat="1"/>
    <xf numFmtId="9" fontId="0" fillId="0" borderId="0" xfId="0" applyNumberFormat="1"/>
    <xf numFmtId="9" fontId="0" fillId="0" borderId="0" xfId="0" applyNumberFormat="1"/>
    <xf numFmtId="10" fontId="0" fillId="0" borderId="0" xfId="0" applyNumberFormat="1"/>
    <xf numFmtId="184" fontId="0" fillId="0" borderId="0" xfId="0" applyNumberFormat="1"/>
    <xf numFmtId="185" fontId="0" fillId="0" borderId="0" xfId="0" applyNumberFormat="1"/>
    <xf numFmtId="0" fontId="0" fillId="0" borderId="0" xfId="0"/>
    <xf numFmtId="186" fontId="0" fillId="0" borderId="0" xfId="0" applyNumberFormat="1"/>
    <xf numFmtId="9" fontId="0" fillId="0" borderId="0" xfId="0" applyNumberFormat="1"/>
    <xf numFmtId="0" fontId="0" fillId="0" borderId="0" xfId="0"/>
    <xf numFmtId="187" fontId="0" fillId="0" borderId="0" xfId="0" applyNumberFormat="1"/>
    <xf numFmtId="0" fontId="0" fillId="0" borderId="0" xfId="0"/>
  </cellXfs>
  <cellStyles>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theme" Target="theme/theme1.xml"/><Relationship Id="rId13" Type="http://schemas.openxmlformats.org/officeDocument/2006/relationships/styles" Target="styles.xml"/><Relationship Id="rId14" Type="http://schemas.openxmlformats.org/officeDocument/2006/relationships/sheetMetadata" Target="metadata.xml"/><Relationship Id="rId15"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person displayName="SheetJ5" id="{54EE7950-7262-4200-6969-000000000000}" userId="SheetJ5" providerId="None"/>
  <person displayName="Daniela Arias" id="{54EE7950-7262-4200-6969-000000000001}" userId="Daniela Arias" providerId="None"/>
</personList>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ï¼­ï¼³ ï¼°ã´ã·ãã¯"/>
        <a:font script="Hang" typeface="ë§ì ê³ ë"/>
        <a:font script="Hans" typeface="å®ä½"/>
        <a:font script="Hant" typeface="æ°ç´°æé«"/>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ï¼­ï¼³ ï¼°ã´ã·ãã¯"/>
        <a:font script="Hang" typeface="ë§ì ê³ ë"/>
        <a:font script="Hans" typeface="å®ä½"/>
        <a:font script="Hant" typeface="æ°ç´°æé«"/>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threadedComment ref="B16" id="{54EE7951-7262-4200-6969-000000000000}" personId="{54EE7950-7262-4200-6969-000000000001}">
    <text>El interÃ©s aplicado al crÃ©dito, es de acuerdo al cambio informado por las autoridades nacionales (superintendencia financiera de colombia). Las cuales certifican la tasa maxima que puede ser cobrada en el mes.</text>
  </threadedComment>
  <threadedComment ref="B17" id="{54EE7951-7262-4200-6969-000000000001}" personId="{54EE7950-7262-4200-6969-000000000001}">
    <text>PÃ³liza de aseguramiento sobre el valor del crÃ©dito, en caso de muerte o invalidez total del titular.</text>
  </threadedComment>
  <threadedComment ref="B18" id="{54EE7951-7262-4200-6969-000000000002}" personId="{54EE7950-7262-4200-6969-000000000001}">
    <text>Corresponde al fondo de cobertura, entidad que avala y representa garantÃ­as para el pago de tu prÃ©stamo. Este valor incluye IVA.</text>
  </threadedComment>
  <threadedComment ref="B19" id="{54EE7951-7262-4200-6969-000000000003}" personId="{54EE7950-7262-4200-6969-000000000001}">
    <text>Cargo aplicado a la instrumentaciÃ³n digital del prestamo. Incluye IVA</text>
  </threadedComment>
  <threadedComment ref="B20" id="{54EE7951-7262-4200-6969-000000000004}" personId="{54EE7950-7262-4200-6969-000000000001}">
    <text>Tarifa asociada a la creaciÃ³n y  mantenimiento de tu prestamo, la cual se suma al valor capital del crÃ©dito.</text>
  </threadedComment>
  <threadedComment ref="B21" id="{54EE7951-7262-4200-6969-000000000005}" personId="{54EE7950-7262-4200-6969-000000000001}">
    <text>Finalco busca promoveer el uso de herramientas tecnologicas que facilitan el acceso de crÃ©dito a personas. Por lo cual se genera esta bonificaciÃ³n de inclusiÃ³n financiera.</text>
  </threadedComment>
  <threadedComment ref="B22" id="{54EE7951-7262-4200-6969-000000000006}" personId="{54EE7950-7262-4200-6969-000000000001}">
    <text>Este valor corresponde a una simulaciÃ³n de tu crÃ©dito, segÃºn los datos seleccionados por ti.</text>
  </threadedComment>
</ThreadedComments>
</file>

<file path=xl/worksheets/_rels/sheet1.xml.rels><?xml version="1.0" encoding="UTF-8" standalone="yes"?>
<Relationships xmlns="http://schemas.openxmlformats.org/package/2006/relationships"><Relationship Id="rId1" Type="http://schemas.openxmlformats.org/officeDocument/2006/relationships/vmlDrawing" Target="../drawings/vmlDrawing1.vml"/><Relationship Id="rId2" Type="http://schemas.microsoft.com/office/2017/10/relationships/threadedComment" Target="../threadedComments/threadedComment1.xml"/><Relationship Id="rId3" Type="http://schemas.openxmlformats.org/officeDocument/2006/relationships/comments" Target="../comments1.xml"/></Relationships>
</file>

<file path=xl/worksheets/_rels/sheet5.xml.rels><?xml version="1.0" encoding="UTF-8" standalone="yes"?>
<Relationships xmlns="http://schemas.openxmlformats.org/package/2006/relationships"><Relationship Id="rId1" Type="http://schemas.openxmlformats.org/officeDocument/2006/relationships/hyperlink" Target="https://finalco.com.co/firma_pagare/"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www.youtube.com/watch?v=aYt_zxMKKwM&amp;amp;t=5s" TargetMode="External"/><Relationship Id="rId2" Type="http://schemas.openxmlformats.org/officeDocument/2006/relationships/hyperlink" Target="https://www.youtube.com/watch?v=rIN4zjCPmq8" TargetMode="External"/></Relationships>
</file>

<file path=xl/worksheets/sheet1.xml><?xml version="1.0" encoding="utf-8"?>
<worksheet xmlns="http://schemas.openxmlformats.org/spreadsheetml/2006/main" xmlns:r="http://schemas.openxmlformats.org/officeDocument/2006/relationships">
  <dimension ref="A3:O22"/>
  <sheetViews>
    <sheetView workbookViewId="0" rightToLeft="0"/>
  </sheetViews>
  <cols>
    <col min="1" max="1" customWidth="1" width="30"/>
    <col min="3" max="3" customWidth="1" width="5.85546875"/>
    <col min="4" max="4" customWidth="1" width="6.7109375"/>
    <col min="5" max="5" customWidth="1" width="5.85546875"/>
    <col min="6" max="6" customWidth="1" width="11.42578125"/>
    <col min="7" max="7" customWidth="1" width="5.85546875" hidden="true"/>
    <col min="8" max="8" customWidth="1" width="7.5703125" hidden="true"/>
    <col min="9" max="9" customWidth="1" width="13.5703125"/>
    <col min="10" max="10" customWidth="1" width="3.42578125" hidden="true"/>
  </cols>
  <sheetData>
    <row r="3">
      <c r="A3" s="3" t="str">
        <v>Plan de pagos: Carta de bienvenida</v>
      </c>
    </row>
    <row r="5" ht="24" customHeight="1">
      <c r="B5" s="4" t="str">
        <v>Cuota</v>
      </c>
      <c r="C5" s="4" t="str">
        <v>Fecha de vencimiento</v>
      </c>
      <c r="F5" s="5" t="str">
        <v>Saldo capital</v>
      </c>
      <c r="I5" s="4" t="str">
        <v>Abono capital</v>
      </c>
      <c r="K5" s="4" t="str">
        <v>Intereses</v>
      </c>
      <c r="L5" s="5" t="str">
        <v>Vida Deudores</v>
      </c>
      <c r="M5" s="5" t="str">
        <v>Fianza</v>
      </c>
      <c r="N5" s="5" t="str">
        <v>Cuota</v>
      </c>
      <c r="O5" s="5" t="str">
        <v>TOTAL</v>
      </c>
    </row>
    <row r="6">
      <c r="B6" s="6">
        <v>0</v>
      </c>
      <c r="F6" s="7" cm="1">
        <f t="array" ref="F6:H6">+'Plan de pagos'!F18:H18</f>
        <v>230000</v>
      </c>
      <c r="G6" s="7">
        <v>0</v>
      </c>
      <c r="H6" s="7">
        <v>0</v>
      </c>
    </row>
    <row r="7">
      <c r="B7" s="8">
        <f>+'Plan de pagos'!B19</f>
        <v>1</v>
      </c>
      <c r="C7" s="9">
        <f>+'Plan de pagos'!C19</f>
        <v>29</v>
      </c>
      <c r="D7" s="9" t="str">
        <f>+'Plan de pagos'!D19</f>
        <v>Ago</v>
      </c>
      <c r="E7" s="9">
        <f>+'Plan de pagos'!E19</f>
        <v>2026</v>
      </c>
      <c r="F7" s="7" cm="1">
        <f t="array" ref="F7:H7">+'Plan de pagos'!F19:H19</f>
        <v>116208.58741536846</v>
      </c>
      <c r="G7" s="7">
        <v>0</v>
      </c>
      <c r="H7" s="7">
        <v>0</v>
      </c>
      <c r="I7" s="10" cm="1">
        <f t="array" ref="I7:J7">+'Plan de pagos'!J19:K19</f>
        <v>113791.41258463154</v>
      </c>
      <c r="J7" s="10">
        <v>0</v>
      </c>
      <c r="K7" s="10">
        <f>+'Plan de pagos'!L19</f>
        <v>4885.695664038023</v>
      </c>
      <c r="L7" s="10">
        <f>+'Plan de pagos'!M19</f>
        <v>437</v>
      </c>
      <c r="M7" s="10">
        <f>+'Plan de pagos'!N19</f>
        <v>24999.52</v>
      </c>
      <c r="N7" s="10">
        <f>+'Plan de pagos'!O19</f>
        <v>118677.10824866957</v>
      </c>
      <c r="O7" s="10">
        <f>+'Plan de pagos'!P19</f>
        <v>144113.62824866956</v>
      </c>
    </row>
    <row r="8">
      <c r="B8" s="8">
        <f>+'Plan de pagos'!B20</f>
        <v>2</v>
      </c>
      <c r="C8" s="9">
        <f>+'Plan de pagos'!C20</f>
        <v>29</v>
      </c>
      <c r="D8" s="9" t="str">
        <f>+'Plan de pagos'!D20</f>
        <v>Sep</v>
      </c>
      <c r="E8" s="9">
        <f>+'Plan de pagos'!E20</f>
        <v>2026</v>
      </c>
      <c r="F8" s="10" cm="1">
        <f t="array" ref="F8:H8">+'Plan de pagos'!F20:H20</f>
        <v>-2.9103830456733704e-11</v>
      </c>
      <c r="G8" s="7">
        <v>0</v>
      </c>
      <c r="H8" s="7">
        <v>0</v>
      </c>
      <c r="I8" s="10" cm="1">
        <f t="array" ref="I8:J8">+'Plan de pagos'!J20:K20</f>
        <v>116208.58741536849</v>
      </c>
      <c r="J8" s="7">
        <v>0</v>
      </c>
      <c r="K8" s="10">
        <f>+'Plan de pagos'!L20</f>
        <v>2468.5208333010837</v>
      </c>
      <c r="L8" s="10">
        <f>+'Plan de pagos'!M20</f>
        <v>437</v>
      </c>
      <c r="M8" s="10">
        <f>+'Plan de pagos'!N20</f>
        <v>24999.52</v>
      </c>
      <c r="N8" s="10">
        <f>+'Plan de pagos'!O20</f>
        <v>118677.10824866957</v>
      </c>
      <c r="O8" s="10">
        <f>+'Plan de pagos'!P20</f>
        <v>144113.62824866956</v>
      </c>
    </row>
    <row r="9">
      <c r="I9" s="11" cm="1">
        <f t="array" ref="I9:J9">+'Plan de pagos'!J21:K21</f>
        <v>230000.00000000003</v>
      </c>
      <c r="J9" s="11">
        <v>0</v>
      </c>
      <c r="K9" s="5">
        <f>+'Plan de pagos'!L21</f>
        <v>7354.216497339106</v>
      </c>
      <c r="L9" s="5">
        <f>+'Plan de pagos'!M21</f>
        <v>874</v>
      </c>
      <c r="M9" s="5">
        <f>+'Plan de pagos'!N21</f>
        <v>49999.04</v>
      </c>
      <c r="N9" s="5">
        <f>+'Plan de pagos'!O21</f>
        <v>237354.21649733913</v>
      </c>
      <c r="O9" s="5">
        <f>+'Plan de pagos'!P21</f>
        <v>288227.2564973391</v>
      </c>
    </row>
    <row r="13">
      <c r="A13" s="3" t="str">
        <v>Simulador:</v>
      </c>
    </row>
    <row r="14"/>
    <row r="15">
      <c r="A15" s="5" t="str">
        <v>Valor solicitado</v>
      </c>
      <c r="B15" s="10">
        <f>+'Plan de pagos'!P14</f>
        <v>200000</v>
      </c>
    </row>
    <row r="16">
      <c r="A16" s="5" t="str">
        <v>Interés</v>
      </c>
      <c r="B16" s="12">
        <f>+K9</f>
        <v>7354.216497339106</v>
      </c>
    </row>
    <row r="17">
      <c r="A17" s="5" t="str">
        <v>Seguro vida</v>
      </c>
      <c r="B17" s="12">
        <f>+L9</f>
        <v>874</v>
      </c>
    </row>
    <row r="18">
      <c r="A18" s="5" t="str">
        <v>Fianza + IVA</v>
      </c>
      <c r="B18" s="12">
        <f>+M9</f>
        <v>49999.04</v>
      </c>
    </row>
    <row r="19">
      <c r="A19" s="5" t="str">
        <v>Tecnología + IVA</v>
      </c>
      <c r="B19" s="12">
        <f>(+B15*3%)+7800</f>
        <v>13800</v>
      </c>
    </row>
    <row r="20">
      <c r="A20" s="5" t="str">
        <v>Administración</v>
      </c>
      <c r="B20" s="12">
        <v>30000</v>
      </c>
    </row>
    <row r="21">
      <c r="A21" s="5" t="str">
        <v>Descuento (por inclusión financiera)</v>
      </c>
      <c r="B21" s="12">
        <f>-B19</f>
        <v>-13800</v>
      </c>
    </row>
    <row r="22">
      <c r="A22" s="5" t="str">
        <v>Total a pagar</v>
      </c>
      <c r="B22" s="5">
        <f>SUM(B15:B21)</f>
        <v>288227.2564973391</v>
      </c>
    </row>
  </sheetData>
  <mergeCells count="4">
    <mergeCell ref="C6:E6"/>
    <mergeCell ref="B9:H9"/>
    <mergeCell ref="C5:E5"/>
    <mergeCell ref="I5:J5"/>
  </mergeCells>
  <pageMargins left="0.7" right="0.7" top="0.75" bottom="0.75" header="0.3" footer="0.3"/>
  <ignoredErrors>
    <ignoredError numberStoredAsText="1" sqref="A3:O22"/>
  </ignoredErrors>
  <legacyDrawing r:id="rId1"/>
</worksheet>
</file>

<file path=xl/worksheets/sheet2.xml><?xml version="1.0" encoding="utf-8"?>
<worksheet xmlns="http://schemas.openxmlformats.org/spreadsheetml/2006/main" xmlns:r="http://schemas.openxmlformats.org/officeDocument/2006/relationships">
  <dimension ref="A1:R25"/>
  <sheetViews>
    <sheetView workbookViewId="0" rightToLeft="0"/>
  </sheetViews>
  <cols>
    <col min="1" max="1" customWidth="1" width="1.28515625"/>
    <col min="2" max="2" customWidth="1" width="7.42578125"/>
    <col min="3" max="3" customWidth="1" width="4"/>
    <col min="4" max="4" customWidth="1" width="4.85546875"/>
    <col min="5" max="5" customWidth="1" width="6.85546875"/>
    <col min="6" max="6" customWidth="1" width="4.42578125"/>
    <col min="7" max="7" customWidth="1" width="4"/>
    <col min="8" max="8" customWidth="1" width="6"/>
    <col min="9" max="9" customWidth="1" width="12.28515625"/>
    <col min="10" max="10" customWidth="1" width="8.7109375"/>
    <col min="11" max="11" customWidth="1" width="3.85546875"/>
    <col min="12" max="12" customWidth="1" width="13.5703125"/>
    <col min="13" max="13" customWidth="1" width="11.42578125"/>
    <col min="14" max="14" customWidth="1" width="12.7109375"/>
    <col min="15" max="15" customWidth="1" width="12.7109375"/>
    <col min="16" max="16" customWidth="1" width="13.7109375"/>
    <col min="17" max="17" customWidth="1" width="6.5703125"/>
    <col min="18" max="18" customWidth="1" width="11.42578125"/>
    <col min="19" max="19" customWidth="1" width="11.42578125"/>
    <col min="20" max="20" customWidth="1" width="11.42578125"/>
    <col min="21" max="21" customWidth="1" width="11.42578125"/>
    <col min="22" max="22" customWidth="1" width="11.42578125"/>
    <col min="23" max="23" customWidth="1" width="11.42578125"/>
    <col min="24" max="24" customWidth="1" width="11.42578125"/>
    <col min="25" max="25" customWidth="1" width="11.42578125"/>
    <col min="26" max="26" customWidth="1" width="11.42578125"/>
    <col min="27" max="27" customWidth="1" width="11.42578125"/>
    <col min="28" max="28" customWidth="1" width="11.42578125"/>
    <col min="29" max="29" customWidth="1" width="11.42578125"/>
    <col min="30" max="30" customWidth="1" width="11.42578125"/>
  </cols>
  <sheetData>
    <row r="1" ht="6.599999999999999" customHeight="1"/>
    <row r="2" ht="22.5" customHeight="1">
      <c r="B2" s="4" t="str">
        <v xml:space="preserve">TABLA DE AMORTIZACION DE CREDITOS CON CUOTAS FIJAS </v>
      </c>
    </row>
    <row r="3" ht="18.75" customHeight="1">
      <c r="B3" s="13" t="str">
        <v>FINAMIGO</v>
      </c>
    </row>
    <row r="4" ht="5.25" customHeight="1"/>
    <row r="5" ht="21" customHeight="1">
      <c r="B5" s="4" t="str">
        <v>DIGITE LA INFORMACIÓN</v>
      </c>
      <c r="I5" s="5" t="str">
        <v>CONVERSIÓN DE TASAS</v>
      </c>
      <c r="L5" s="3" t="str">
        <v xml:space="preserve">Solicitante: </v>
      </c>
      <c r="M5" s="14" t="str">
        <v>VARGAS FERNANDEZ JAIME LUIS</v>
      </c>
      <c r="P5" s="15" t="str">
        <v>FIANZA</v>
      </c>
    </row>
    <row r="6" ht="14.25" customHeight="1">
      <c r="B6" s="15" t="str">
        <v>Valor del Crédito</v>
      </c>
      <c r="F6" s="12">
        <f>+P14+30000</f>
        <v>230000</v>
      </c>
      <c r="I6" s="16" t="str">
        <v>Efectiva Anual:</v>
      </c>
      <c r="J6" s="17">
        <v>0.2869</v>
      </c>
      <c r="L6" s="3" t="str">
        <v>Cédula:</v>
      </c>
      <c r="M6" s="14">
        <v>1073969021</v>
      </c>
      <c r="P6" s="15" t="str">
        <v>Modalidad</v>
      </c>
    </row>
    <row r="7" ht="13.5" customHeight="1">
      <c r="B7" s="15" t="str">
        <v>Tasa (mensual):</v>
      </c>
      <c r="F7" s="18">
        <f>+J7</f>
        <v>0.021242155061034884</v>
      </c>
      <c r="I7" s="16" t="str">
        <v>EMV:</v>
      </c>
      <c r="J7" s="18">
        <f>((J6+1)^(0.0833333333333333))-1</f>
        <v>0.021242155061034884</v>
      </c>
      <c r="L7" s="3" t="str">
        <v>Destino Crédito:</v>
      </c>
      <c r="M7" s="14" t="str">
        <v>Mejoras de vivienda</v>
      </c>
      <c r="P7" s="19" t="str">
        <v>Mensual</v>
      </c>
    </row>
    <row r="8" ht="13.5" customHeight="1">
      <c r="B8" s="15" t="str">
        <v>Tiempo (meses):</v>
      </c>
      <c r="F8" s="14">
        <v>2</v>
      </c>
      <c r="I8" s="16" t="str">
        <v>ETV:</v>
      </c>
      <c r="J8" s="18">
        <f>+((1+J7)^3)-1</f>
        <v>0.06508973771762294</v>
      </c>
      <c r="L8" s="3" t="str">
        <v>Entidad Trabajo:</v>
      </c>
      <c r="M8" s="14" t="str">
        <v>Seguridad privada</v>
      </c>
      <c r="P8" s="15" t="str">
        <v>Nivel de Riesgo</v>
      </c>
    </row>
    <row r="9" ht="13.5" customHeight="1">
      <c r="B9" s="15" t="str">
        <v>Fechas pago del crédito</v>
      </c>
      <c r="F9" s="14">
        <v>29</v>
      </c>
      <c r="G9" s="14">
        <v>7</v>
      </c>
      <c r="H9" s="20">
        <v>2026</v>
      </c>
      <c r="I9" s="16" t="str">
        <v>ETA:</v>
      </c>
      <c r="J9" s="18">
        <f>+J8/(1+J8)</f>
        <v>0.061111975275532665</v>
      </c>
      <c r="L9" s="3" t="str">
        <v>Cargo:</v>
      </c>
      <c r="M9" s="14" t="str">
        <v>Vigilancia</v>
      </c>
      <c r="P9" s="20">
        <v>4</v>
      </c>
    </row>
    <row r="10" ht="15.75" customHeight="1">
      <c r="F10" s="15" t="str">
        <v>Día</v>
      </c>
      <c r="G10" s="15" t="str">
        <v>Mes</v>
      </c>
      <c r="H10" s="15" t="str">
        <v>Año</v>
      </c>
      <c r="I10" s="16" t="str">
        <v>Nom Anual</v>
      </c>
      <c r="J10" s="18">
        <f>+F7*12</f>
        <v>0.2549058607324186</v>
      </c>
      <c r="L10" s="3" t="str">
        <v>Linea de crédito</v>
      </c>
      <c r="M10" s="14" t="str">
        <v>Nanocredito</v>
      </c>
      <c r="P10" s="21">
        <f>+(P14*10.504%)*1.19</f>
        <v>24999.52</v>
      </c>
    </row>
    <row r="11" hidden="1" ht="13.5" customHeight="1"/>
    <row r="12" ht="5.1" customHeight="1"/>
    <row r="13" ht="16.5" customHeight="1">
      <c r="B13" s="22" t="str">
        <v xml:space="preserve">TABLA DE AMORTIZACION CUOTA FIJA </v>
      </c>
      <c r="L13" s="23" t="str">
        <v>MONTO DEL CREDITO</v>
      </c>
      <c r="N13" s="24" t="str">
        <v>Solicitado</v>
      </c>
      <c r="P13" s="25">
        <v>200000</v>
      </c>
    </row>
    <row r="14" ht="16.5" customHeight="1">
      <c r="N14" s="24" t="str">
        <v>Aprobado</v>
      </c>
      <c r="P14" s="25">
        <v>200000</v>
      </c>
    </row>
    <row r="15" ht="4.5" customHeight="1"/>
    <row r="16" ht="6.75" customHeight="1"/>
    <row r="17" ht="25.5" customHeight="1">
      <c r="B17" s="22" t="str">
        <v>Cuota</v>
      </c>
      <c r="C17" s="22" t="str">
        <v>Fecha de vencimiento</v>
      </c>
      <c r="F17" s="23" t="str">
        <v>Saldo capital</v>
      </c>
      <c r="J17" s="22" t="str">
        <v>Abono capital</v>
      </c>
      <c r="L17" s="22" t="str">
        <v>Intereses</v>
      </c>
      <c r="M17" s="23" t="str">
        <v>Vida Deudores</v>
      </c>
      <c r="N17" s="23" t="str">
        <v>Fianza</v>
      </c>
      <c r="O17" s="23" t="str">
        <v>Cuota</v>
      </c>
      <c r="P17" s="23" t="str">
        <v>TOTAL</v>
      </c>
    </row>
    <row r="18" ht="13.5" customHeight="1">
      <c r="B18" s="6">
        <v>0</v>
      </c>
      <c r="C18" s="9">
        <f>F9</f>
        <v>29</v>
      </c>
      <c r="D18" s="26" t="str">
        <f>IF($G$9=1,"Ene",IF($G$9=2,"Feb",IF($G$9=3,"Mar",IF($G$9=4,"Abr",IF($G$9=5,"May",IF($G$9=6,"Jun",IF($G$9=7,"Jul",IF($G$9=8,"Ago",IF($G$9=9,"Sep",IF($G$9=10,"Oct",IF($G$9=11,"Nov","Dic")))))))))))</f>
        <v>Jul</v>
      </c>
      <c r="E18" s="27">
        <f>H9</f>
        <v>2026</v>
      </c>
      <c r="F18" s="7">
        <f>F6</f>
        <v>230000</v>
      </c>
    </row>
    <row r="19" ht="13.5" customHeight="1">
      <c r="B19" s="8">
        <f>+IF(P19&gt;1,B18+1,"-")</f>
        <v>1</v>
      </c>
      <c r="C19" s="9">
        <f>IF(J19&gt;0,$C$18,"-")</f>
        <v>29</v>
      </c>
      <c r="D19" s="26" t="str">
        <f>IF(C19="-","-",(IF($D18="Ene","Feb",IF($D18="Feb","Mar",IF($D18="Mar","Abr",IF($D18="Abr","May",IF($D18="May","Jun",IF($D18="Jun","Jul",IF($D18="Jul","Ago",IF($D18="Ago","Sep",IF($D18="Sep","Oct",IF($D18="Oct","Nov",IF($D18="Nov","Dic","Ene")))))))))))))</f>
        <v>Ago</v>
      </c>
      <c r="E19" s="27">
        <f>IF(C19="-","-",+IF($D18="Ene",E18,IF($D18="Feb",E18,IF($D18="Mar",E18,IF($D18="Abr",E18,IF($D18="May",E18,IF($D18="Jun",E18,IF($D18="Jul",E18,IF($D18="Ago",E18,IF($D18="Sep",E18,IF($D18="Oct",E18,IF($D18="Nov",E18,(E18+1)))))))))))))</f>
        <v>2026</v>
      </c>
      <c r="F19" s="7">
        <f>+(F18-J19)</f>
        <v>116208.58741536846</v>
      </c>
      <c r="J19" s="28">
        <f>+($O$19-$L$19)</f>
        <v>113791.41258463154</v>
      </c>
      <c r="L19" s="28">
        <f>+(F18*$F$7)</f>
        <v>4885.695664038023</v>
      </c>
      <c r="M19" s="28">
        <f>IF(J19&gt;0,((+$F$6*1.9)/1000),0)</f>
        <v>437</v>
      </c>
      <c r="N19" s="28">
        <f>IF(J19&gt;0,$P$10,0)</f>
        <v>24999.52</v>
      </c>
      <c r="O19" s="28">
        <f>+(-PMT($F$7,$F$8,$F$6,0,0))</f>
        <v>118677.10824866957</v>
      </c>
      <c r="P19" s="29">
        <f>O19+M19+N19</f>
        <v>144113.62824866956</v>
      </c>
    </row>
    <row r="20" ht="13.5" customHeight="1">
      <c r="B20" s="8">
        <f>+IF(P20&gt;1,B19+1,"-")</f>
        <v>2</v>
      </c>
      <c r="C20" s="9">
        <f>IF(J20&gt;0,$C$18,"-")</f>
        <v>29</v>
      </c>
      <c r="D20" s="26" t="str">
        <f>IF(C20="-","-",(IF($D19="Ene","Feb",IF($D19="Feb","Mar",IF($D19="Mar","Abr",IF($D19="Abr","May",IF($D19="May","Jun",IF($D19="Jun","Jul",IF($D19="Jul","Ago",IF($D19="Ago","Sep",IF($D19="Sep","Oct",IF($D19="Oct","Nov",IF($D19="Nov","Dic","Ene")))))))))))))</f>
        <v>Sep</v>
      </c>
      <c r="E20" s="27">
        <f>IF(C20="-","-",+IF($D19="Ene",E19,IF($D19="Feb",E19,IF($D19="Mar",E19,IF($D19="Abr",E19,IF($D19="May",E19,IF($D19="Jun",E19,IF($D19="Jul",E19,IF($D19="Ago",E19,IF($D19="Sep",E19,IF($D19="Oct",E19,IF($D19="Nov",E19,(E19+1)))))))))))))</f>
        <v>2026</v>
      </c>
      <c r="F20" s="7">
        <f>IF(F8&lt;=1,0,+F19-J20)</f>
        <v>-2.9103830456733704e-11</v>
      </c>
      <c r="J20" s="28">
        <f>+IF(F8&lt;=1,0,($O$19-$L$20))</f>
        <v>116208.58741536849</v>
      </c>
      <c r="L20" s="28">
        <f>+(F19*$F$7)</f>
        <v>2468.5208333010837</v>
      </c>
      <c r="M20" s="28">
        <f>IF(J20&gt;0,((+$F$6*1.9)/1000),0)</f>
        <v>437</v>
      </c>
      <c r="N20" s="28">
        <f>IF(J20&gt;0,$P$10,0)</f>
        <v>24999.52</v>
      </c>
      <c r="O20" s="28">
        <f>IF(F8=1,0,(-PMT($F$7,$F$8,$F$6,0,0)))</f>
        <v>118677.10824866957</v>
      </c>
      <c r="P20" s="29">
        <f>O20+M20+N20</f>
        <v>144113.62824866956</v>
      </c>
    </row>
    <row r="21" ht="13.5" customHeight="1">
      <c r="J21" s="23">
        <f>+J20+J19</f>
        <v>230000.00000000003</v>
      </c>
      <c r="L21" s="23">
        <f>+L20+L19</f>
        <v>7354.216497339106</v>
      </c>
      <c r="M21" s="23">
        <f>+M20+M19</f>
        <v>874</v>
      </c>
      <c r="N21" s="23">
        <f>+N20+N19</f>
        <v>49999.04</v>
      </c>
      <c r="O21" s="23">
        <f>+O20+O19</f>
        <v>237354.21649733913</v>
      </c>
      <c r="P21" s="23">
        <f>+P20+P19</f>
        <v>288227.2564973391</v>
      </c>
    </row>
    <row r="22" hidden="1"/>
    <row r="23" hidden="1"/>
    <row r="24" hidden="1"/>
    <row r="25" hidden="1"/>
    <row r="26" hidden="1"/>
    <row r="27" hidden="1"/>
    <row r="28" hidden="1"/>
    <row r="29" hidden="1"/>
    <row r="30" hidden="1"/>
    <row r="31" hidden="1"/>
    <row r="32" hidden="1"/>
    <row r="33" hidden="1"/>
    <row r="34" hidden="1"/>
    <row r="35" hidden="1"/>
    <row r="36" hidden="1"/>
    <row r="37" hidden="1"/>
    <row r="38" hidden="1"/>
    <row r="39" hidden="1"/>
    <row r="40" hidden="1"/>
    <row r="41" hidden="1"/>
    <row r="42" hidden="1"/>
    <row r="43" hidden="1"/>
    <row r="44" hidden="1"/>
    <row r="45" hidden="1"/>
    <row r="46" hidden="1"/>
    <row r="47" hidden="1"/>
    <row r="48" hidden="1"/>
    <row r="49" hidden="1"/>
    <row r="50" hidden="1"/>
    <row r="51" hidden="1"/>
    <row r="52" hidden="1"/>
    <row r="53" hidden="1"/>
    <row r="54" hidden="1"/>
    <row r="55" hidden="1"/>
    <row r="56" hidden="1"/>
    <row r="57" hidden="1"/>
    <row r="58" hidden="1"/>
    <row r="59" hidden="1"/>
    <row r="60" hidden="1"/>
    <row r="61" hidden="1"/>
    <row r="62" hidden="1"/>
    <row r="63" hidden="1"/>
    <row r="64" hidden="1"/>
    <row r="65" hidden="1"/>
  </sheetData>
  <mergeCells count="37">
    <mergeCell ref="B2:P2"/>
    <mergeCell ref="B3:P3"/>
    <mergeCell ref="I5:J5"/>
    <mergeCell ref="F8:H8"/>
    <mergeCell ref="B9:E9"/>
    <mergeCell ref="B4:H4"/>
    <mergeCell ref="B5:H5"/>
    <mergeCell ref="B6:E6"/>
    <mergeCell ref="F6:H6"/>
    <mergeCell ref="K6:K10"/>
    <mergeCell ref="B7:E7"/>
    <mergeCell ref="F7:H7"/>
    <mergeCell ref="B8:E8"/>
    <mergeCell ref="M5:N5"/>
    <mergeCell ref="M6:N6"/>
    <mergeCell ref="M7:N7"/>
    <mergeCell ref="M8:N8"/>
    <mergeCell ref="M9:N9"/>
    <mergeCell ref="M10:N10"/>
    <mergeCell ref="F20:H20"/>
    <mergeCell ref="J20:K20"/>
    <mergeCell ref="F18:H18"/>
    <mergeCell ref="J18:K18"/>
    <mergeCell ref="F19:H19"/>
    <mergeCell ref="J19:K19"/>
    <mergeCell ref="F17:H17"/>
    <mergeCell ref="J17:K17"/>
    <mergeCell ref="B13:K14"/>
    <mergeCell ref="B10:E10"/>
    <mergeCell ref="B21:H21"/>
    <mergeCell ref="J21:K21"/>
    <mergeCell ref="R18:S18"/>
    <mergeCell ref="N13:O13"/>
    <mergeCell ref="N14:O14"/>
    <mergeCell ref="L13:M14"/>
    <mergeCell ref="I18:I20"/>
    <mergeCell ref="C17:E17"/>
  </mergeCells>
  <pageMargins left="0.31496062992125984" right="0.31496062992125984" top="0.8661417322834646" bottom="0.5511811023622047" header="0.31496062992125984" footer="0.31496062992125984"/>
  <ignoredErrors>
    <ignoredError numberStoredAsText="1" sqref="A1:R25"/>
  </ignoredErrors>
</worksheet>
</file>

<file path=xl/worksheets/sheet3.xml><?xml version="1.0" encoding="utf-8"?>
<worksheet xmlns="http://schemas.openxmlformats.org/spreadsheetml/2006/main" xmlns:r="http://schemas.openxmlformats.org/officeDocument/2006/relationships">
  <dimension ref="B1:H68"/>
  <sheetViews>
    <sheetView workbookViewId="0" rightToLeft="0"/>
  </sheetViews>
  <cols>
    <col min="1" max="1" customWidth="1" width="5.28515625"/>
    <col min="2" max="2" customWidth="1" width="10.85546875"/>
    <col min="3" max="3" customWidth="1" width="40.28515625"/>
    <col min="4" max="4" customWidth="1" width="28.42578125"/>
    <col min="5" max="5" customWidth="1" width="14.28515625"/>
    <col min="6" max="6" customWidth="1" width="5.28515625"/>
    <col min="7" max="7" customWidth="1" width="10.85546875"/>
    <col min="8" max="8" customWidth="1" width="10.85546875"/>
    <col min="9" max="9" customWidth="1" width="10.85546875"/>
    <col min="10" max="10" customWidth="1" width="10.85546875"/>
    <col min="11" max="11" customWidth="1" width="10.85546875"/>
    <col min="12" max="12" customWidth="1" width="10.85546875"/>
    <col min="13" max="13" customWidth="1" width="10.85546875"/>
    <col min="14" max="14" customWidth="1" width="10.85546875"/>
    <col min="15" max="15" customWidth="1" width="10.85546875"/>
    <col min="16" max="16" customWidth="1" width="10.85546875"/>
    <col min="17" max="17" customWidth="1" width="10.85546875"/>
    <col min="18" max="18" customWidth="1" width="10.85546875"/>
    <col min="19" max="19" customWidth="1" width="10.85546875"/>
    <col min="20" max="20" customWidth="1" width="10.85546875"/>
    <col min="21" max="21" customWidth="1" width="10.85546875"/>
    <col min="22" max="22" customWidth="1" width="10.85546875"/>
    <col min="23" max="23" customWidth="1" width="10.85546875"/>
    <col min="24" max="24" customWidth="1" width="10.85546875"/>
    <col min="25" max="25" customWidth="1" width="10.85546875"/>
    <col min="26" max="26" customWidth="1" width="10.85546875"/>
    <col min="27" max="27" customWidth="1" width="10.85546875"/>
    <col min="28" max="28" customWidth="1" width="10.85546875"/>
    <col min="29" max="29" customWidth="1" width="10.85546875"/>
    <col min="30" max="30" customWidth="1" width="10.85546875"/>
  </cols>
  <sheetData>
    <row r="1">
      <c r="B1" s="30" t="str">
        <v xml:space="preserve"> ANALISIS FINANCIERO PAGO DE CREDITOS</v>
      </c>
    </row>
    <row r="2">
      <c r="B2" s="15" t="str">
        <v>Asalariado / Independiente</v>
      </c>
    </row>
    <row r="3" ht="7.5" customHeight="1"/>
    <row r="4" ht="15" customHeight="1">
      <c r="B4" s="9" t="str">
        <v>Solicitante</v>
      </c>
      <c r="C4" s="9" t="str" cm="1">
        <f t="array" ref="C4:D4">+'Plan de pagos'!M5:N5</f>
        <v>VARGAS FERNANDEZ JAIME LUIS</v>
      </c>
      <c r="D4" s="9">
        <v>0</v>
      </c>
    </row>
    <row r="5">
      <c r="B5" s="9" t="str">
        <v>C.C No.</v>
      </c>
      <c r="C5" s="9" cm="1">
        <f t="array" ref="C5:D5">+'Plan de pagos'!M6:N6</f>
        <v>1073969021</v>
      </c>
      <c r="D5" s="9">
        <v>0</v>
      </c>
    </row>
    <row r="6" ht="8.25" customHeight="1"/>
    <row r="7" ht="14.449999999999998" customHeight="1">
      <c r="B7" s="22" t="str">
        <v>Estado de Ingresos y Resultados</v>
      </c>
      <c r="D7" s="22" t="str">
        <v>Valor</v>
      </c>
      <c r="E7" s="22" t="str">
        <v>% Partc</v>
      </c>
    </row>
    <row r="8" ht="14.449999999999998" customHeight="1">
      <c r="C8" s="9" t="str">
        <v>Ingreso Reportado cliente</v>
      </c>
      <c r="D8" s="31">
        <v>2600000</v>
      </c>
    </row>
    <row r="9">
      <c r="C9" s="9" t="str">
        <v>QUANTO ingreso medio</v>
      </c>
      <c r="D9" s="31">
        <v>3011000</v>
      </c>
    </row>
    <row r="10">
      <c r="B10" s="6" t="str">
        <v>Entradas Mensuales</v>
      </c>
      <c r="C10" s="9" t="str">
        <v>Ingresos Brutos (salario, pensión, contratos)</v>
      </c>
      <c r="D10" s="32">
        <f>+MIN(D8,D9)</f>
        <v>2600000</v>
      </c>
      <c r="E10" s="33">
        <f>+D10/D15</f>
        <v>1</v>
      </c>
    </row>
    <row r="11">
      <c r="C11" s="9" t="str">
        <v>Comisiones, Rodamiento, Bonificaciones</v>
      </c>
      <c r="D11" s="32">
        <v>0</v>
      </c>
      <c r="E11" s="33">
        <f>+D11/D15</f>
        <v>0</v>
      </c>
    </row>
    <row r="12">
      <c r="C12" s="9" t="str">
        <v>Arriendos</v>
      </c>
      <c r="D12" s="32">
        <v>0</v>
      </c>
      <c r="E12" s="33">
        <f>+D12/D15</f>
        <v>0</v>
      </c>
    </row>
    <row r="13">
      <c r="C13" s="9" t="str">
        <v>Rendimientos Financieros</v>
      </c>
      <c r="D13" s="32">
        <v>0</v>
      </c>
      <c r="E13" s="34">
        <f>+D13/D15</f>
        <v>0</v>
      </c>
    </row>
    <row r="14">
      <c r="C14" s="9" t="str">
        <v>Otros ingresos</v>
      </c>
      <c r="D14" s="32">
        <v>0</v>
      </c>
      <c r="E14" s="34">
        <f>+D14/D15</f>
        <v>0</v>
      </c>
    </row>
    <row r="15">
      <c r="C15" s="9" t="str">
        <v>TOTAL INGRESOS</v>
      </c>
      <c r="D15" s="34">
        <f>SUM(D10:D14)</f>
        <v>2600000</v>
      </c>
      <c r="E15" s="33">
        <f>SUM(E10:E14)</f>
        <v>1</v>
      </c>
    </row>
    <row r="16">
      <c r="C16" s="9" t="str">
        <v>Descuentos de Ley</v>
      </c>
      <c r="D16" s="34">
        <f>+D15*0.08</f>
        <v>208000</v>
      </c>
      <c r="E16" s="33">
        <f>+D16/D15</f>
        <v>0.08</v>
      </c>
    </row>
    <row r="17">
      <c r="C17" s="6" t="str">
        <v>TOTAL INGRESOS NETOS</v>
      </c>
      <c r="D17" s="35">
        <f>D15-D16</f>
        <v>2392000</v>
      </c>
      <c r="E17" s="36">
        <f>+D17/D15</f>
        <v>0.92</v>
      </c>
    </row>
    <row r="18" ht="5.25" customHeight="1"/>
    <row r="19">
      <c r="B19" s="6" t="str">
        <v>Salidas Mensuales</v>
      </c>
      <c r="C19" s="9" t="str">
        <v>Gastos de sostenimiento</v>
      </c>
      <c r="D19" s="37">
        <f>+D17*35%</f>
        <v>837200</v>
      </c>
      <c r="E19" s="33">
        <f>+D19/D26</f>
        <v>0.5848002235261246</v>
      </c>
    </row>
    <row r="20">
      <c r="C20" s="9" t="str">
        <v>Arrendamientos</v>
      </c>
      <c r="D20" s="37">
        <v>0</v>
      </c>
      <c r="E20" s="33">
        <f>+D20/D26</f>
        <v>0</v>
      </c>
    </row>
    <row r="21">
      <c r="C21" s="9" t="str">
        <v>Manutención hijos (10% salario c/u)</v>
      </c>
      <c r="D21" s="31">
        <v>478400</v>
      </c>
      <c r="E21" s="33">
        <f>+D21/D26</f>
        <v>0.33417155630064266</v>
      </c>
    </row>
    <row r="22">
      <c r="C22" s="9" t="str">
        <v>Cuotas Créditos</v>
      </c>
      <c r="D22" s="31">
        <v>116000</v>
      </c>
      <c r="E22" s="33">
        <f>+D22/D26</f>
        <v>0.08102822017323275</v>
      </c>
    </row>
    <row r="23">
      <c r="C23" s="9" t="str">
        <v>Cuotas tarjetas</v>
      </c>
      <c r="D23" s="37">
        <v>0</v>
      </c>
      <c r="E23" s="33">
        <f>+D23/D26</f>
        <v>0</v>
      </c>
    </row>
    <row r="24">
      <c r="C24" s="9" t="str">
        <v>Cuotas deudas particulares</v>
      </c>
      <c r="D24" s="37">
        <v>0</v>
      </c>
      <c r="E24" s="33">
        <f>+D24/D26</f>
        <v>0</v>
      </c>
    </row>
    <row r="25">
      <c r="C25" s="9" t="str">
        <v>Otros Gastos</v>
      </c>
      <c r="D25" s="37">
        <v>0</v>
      </c>
      <c r="E25" s="33">
        <f>+D25/D26</f>
        <v>0</v>
      </c>
    </row>
    <row r="26">
      <c r="C26" s="6" t="str">
        <v>TOTAL GASTOS</v>
      </c>
      <c r="D26" s="35">
        <f>SUM(D19:D25)</f>
        <v>1431600</v>
      </c>
      <c r="E26" s="36">
        <f>SUM(E19:E25)</f>
        <v>1</v>
      </c>
    </row>
    <row r="27" ht="5.25" customHeight="1"/>
    <row r="28" hidden="1">
      <c r="B28" s="22" t="str">
        <v>Balance General</v>
      </c>
      <c r="D28" s="22" t="str">
        <v>Valor</v>
      </c>
      <c r="E28" s="22" t="str">
        <v>% Partc</v>
      </c>
    </row>
    <row r="29" hidden="1">
      <c r="B29" s="6" t="str">
        <v>Activos</v>
      </c>
      <c r="C29" s="9" t="str">
        <v>Bienes Inmuebles</v>
      </c>
      <c r="D29" s="32">
        <v>0</v>
      </c>
      <c r="E29" s="33" t="e">
        <f>+D29/D34</f>
        <v>#DIV/0!</v>
      </c>
    </row>
    <row r="30" hidden="1">
      <c r="C30" s="9" t="str">
        <v>Vehículos</v>
      </c>
      <c r="D30" s="32">
        <v>0</v>
      </c>
      <c r="E30" s="33" t="e">
        <f>+D30/D34</f>
        <v>#DIV/0!</v>
      </c>
    </row>
    <row r="31" hidden="1">
      <c r="C31" s="9" t="str">
        <v>Muebles y enseres</v>
      </c>
      <c r="E31" s="33" t="e">
        <f>+D31/D34</f>
        <v>#DIV/0!</v>
      </c>
    </row>
    <row r="32" hidden="1">
      <c r="C32" s="9" t="str">
        <v>Maquinaria y Equipo</v>
      </c>
      <c r="D32" s="32">
        <v>0</v>
      </c>
      <c r="E32" s="33" t="e">
        <f>+D32/D34</f>
        <v>#DIV/0!</v>
      </c>
    </row>
    <row r="33" hidden="1">
      <c r="C33" s="9" t="str">
        <v>Otros</v>
      </c>
      <c r="D33" s="32">
        <v>0</v>
      </c>
      <c r="E33" s="33" t="e">
        <f>+D33/D34</f>
        <v>#DIV/0!</v>
      </c>
    </row>
    <row r="34" hidden="1">
      <c r="C34" s="6" t="str">
        <v>TOTAL ACTIVOS</v>
      </c>
      <c r="D34" s="35">
        <f>SUM(D29:D33)</f>
        <v>0</v>
      </c>
      <c r="E34" s="36" t="e">
        <f>SUM(E29:E33)</f>
        <v>#DIV/0!</v>
      </c>
    </row>
    <row r="35" hidden="1">
      <c r="B35" s="6" t="str">
        <v>Pasivos</v>
      </c>
      <c r="C35" s="9" t="str">
        <v>Deudas con Bancos</v>
      </c>
      <c r="E35" s="38" t="e">
        <f>+D35/D39</f>
        <v>#DIV/0!</v>
      </c>
    </row>
    <row r="36" hidden="1">
      <c r="C36" s="9" t="str">
        <v>Deudas Particulares</v>
      </c>
      <c r="D36" s="32">
        <v>0</v>
      </c>
      <c r="E36" s="33" t="e">
        <f>+D36/D39</f>
        <v>#DIV/0!</v>
      </c>
    </row>
    <row r="37" hidden="1">
      <c r="C37" s="9" t="str">
        <v>Deudas Compra de cartera Finalco y Bancos</v>
      </c>
      <c r="D37" s="32">
        <v>0</v>
      </c>
      <c r="E37" s="33" t="str">
        <v>N/A</v>
      </c>
    </row>
    <row r="38" hidden="1">
      <c r="C38" s="9" t="str">
        <v xml:space="preserve">Deudas Proveedores </v>
      </c>
      <c r="D38" s="32">
        <v>0</v>
      </c>
      <c r="E38" s="33" t="e">
        <f>+D38/D39</f>
        <v>#DIV/0!</v>
      </c>
    </row>
    <row r="39" hidden="1">
      <c r="C39" s="6" t="str">
        <v>TOTAL PASIVOS</v>
      </c>
      <c r="D39" s="35">
        <f>+D35+D36+D38</f>
        <v>0</v>
      </c>
      <c r="E39" s="39" t="e">
        <f>SUM(E35:E38)</f>
        <v>#DIV/0!</v>
      </c>
    </row>
    <row r="40" ht="4.5" customHeight="1"/>
    <row r="41">
      <c r="B41" s="22" t="str">
        <v>Patrimonio</v>
      </c>
      <c r="C41" s="22" t="str">
        <v>Vr. Patrimonio Neto</v>
      </c>
      <c r="E41" s="37">
        <f>+D34-D39</f>
        <v>0</v>
      </c>
    </row>
    <row r="42" ht="3.6" customHeight="1"/>
    <row r="43" ht="13.5" customHeight="1">
      <c r="B43" s="22" t="str">
        <v>Indicadores de análisis</v>
      </c>
    </row>
    <row r="44">
      <c r="C44" s="9" t="str">
        <v>Monto del crédito Solicitado</v>
      </c>
      <c r="E44" s="7">
        <f>+'Plan de pagos'!P13</f>
        <v>200000</v>
      </c>
    </row>
    <row r="45">
      <c r="B45" s="6" t="str">
        <v>Información</v>
      </c>
      <c r="C45" s="9" t="str">
        <v>Monto del crédito Aprobado</v>
      </c>
      <c r="E45" s="7">
        <f>+'Plan de pagos'!P14</f>
        <v>200000</v>
      </c>
    </row>
    <row r="46">
      <c r="B46" s="6" t="str">
        <v>del crédito</v>
      </c>
      <c r="C46" s="9" t="str">
        <v>Plazo</v>
      </c>
      <c r="E46" s="34" cm="1">
        <f t="array" ref="E46:G46">+'Plan de pagos'!F8:H8</f>
        <v>2</v>
      </c>
      <c r="F46" s="9">
        <v>0</v>
      </c>
      <c r="G46" s="9">
        <v>0</v>
      </c>
    </row>
    <row r="47">
      <c r="C47" s="9" t="str">
        <v>Tasa de interés efectiva anual</v>
      </c>
      <c r="E47" s="40">
        <f>+'Plan de pagos'!J6</f>
        <v>0.2869</v>
      </c>
    </row>
    <row r="48">
      <c r="C48" s="9" t="str">
        <v>Tasa de interés efectiva mensual</v>
      </c>
      <c r="E48" s="40" cm="1">
        <f t="array" ref="E48:G48">+'Plan de pagos'!F7:H7</f>
        <v>0.021242155061034884</v>
      </c>
      <c r="F48" s="9">
        <v>0</v>
      </c>
      <c r="G48" s="9">
        <v>0</v>
      </c>
    </row>
    <row r="49">
      <c r="C49" s="9" t="str">
        <v>Dinero disponible del solicitante una vez deducido sus gastos actuales</v>
      </c>
      <c r="E49" s="41">
        <f>+D17-D26</f>
        <v>960400</v>
      </c>
    </row>
    <row r="50">
      <c r="C50" s="9" t="str">
        <v>Cuota mensual a pagar por la cuota Finalco</v>
      </c>
      <c r="E50" s="7">
        <f>+'Plan de pagos'!P19</f>
        <v>144113.62824866956</v>
      </c>
    </row>
    <row r="51">
      <c r="C51" s="9" t="str">
        <v>Dinero disponible una vez pagado credito Finalco</v>
      </c>
      <c r="E51" s="7">
        <f>+E49-E50</f>
        <v>816286.3717513304</v>
      </c>
    </row>
    <row r="52">
      <c r="C52" s="9" t="str">
        <v>Valor insoluto disponible</v>
      </c>
      <c r="E52" s="7">
        <f>+E51-E65</f>
        <v>624926.3717513304</v>
      </c>
    </row>
    <row r="53">
      <c r="C53" s="9" t="str">
        <v>Relación de la cuota vs el dinero disponible.</v>
      </c>
      <c r="E53" s="33">
        <f>+E50/E49</f>
        <v>0.15005583949257556</v>
      </c>
    </row>
    <row r="54">
      <c r="C54" s="9" t="str">
        <v>Nuevo crédito aprobado vs Patrimonio</v>
      </c>
      <c r="E54" s="38">
        <v>0</v>
      </c>
    </row>
    <row r="55">
      <c r="C55" s="9" t="str">
        <v>Total cuotas actuales vs ingresos neto</v>
      </c>
      <c r="E55" s="33">
        <f>(D22+D23+D24)/D17</f>
        <v>0.048494983277591976</v>
      </c>
    </row>
    <row r="56">
      <c r="B56" s="6" t="str">
        <v>Indicadores</v>
      </c>
      <c r="C56" s="9" t="str">
        <v>Relación cuota vs ingresos (Cuota mensual / Ingresos Netos)</v>
      </c>
      <c r="E56" s="33">
        <f>E50/D17</f>
        <v>0.06024817234476152</v>
      </c>
    </row>
    <row r="57">
      <c r="C57" s="9" t="str">
        <v>Total cuotas actuales + Nueva cuota Finalco vs Ingresos netos</v>
      </c>
      <c r="E57" s="33">
        <f>SUM(D22+D23+D24+E50)/D17</f>
        <v>0.1087431556223535</v>
      </c>
    </row>
    <row r="58">
      <c r="C58" s="9" t="str">
        <v>Nivel de Endeudamiento actual (Total Pasivos  actuales / Total Activos)</v>
      </c>
      <c r="E58" s="33">
        <v>0</v>
      </c>
    </row>
    <row r="59">
      <c r="C59" s="9" t="str">
        <v>Nuevo Nivel de Endeudamiento (Total Pasivos  / Total Activos)</v>
      </c>
      <c r="E59" s="33">
        <f>(D39+E45)/(D34+E45)</f>
        <v>1</v>
      </c>
    </row>
    <row r="60">
      <c r="C60" s="9" t="str">
        <v>Endeudamiento ingresos actual (Total Pasivos actuales / Ingresos netos) veces</v>
      </c>
      <c r="E60" s="42">
        <f>+D39/D17</f>
        <v>0</v>
      </c>
    </row>
    <row r="61">
      <c r="C61" s="9" t="str">
        <v>Endeudamiento ingresos total (Total Pasivo + Nuevo Crédito)/(Ingresos netos) veces</v>
      </c>
      <c r="E61" s="42">
        <f>(E45+D39)/D17</f>
        <v>0.08361204013377926</v>
      </c>
    </row>
    <row r="62" ht="15" customHeight="1">
      <c r="C62" s="9" t="str">
        <v>Gasto de sostenimiento (30%)</v>
      </c>
      <c r="E62" s="7">
        <f>D17*0.3</f>
        <v>717600</v>
      </c>
    </row>
    <row r="63">
      <c r="B63" s="6" t="str">
        <v>Referentes</v>
      </c>
      <c r="C63" s="9" t="str">
        <v>Gasto por cada persona a cargo (10%)</v>
      </c>
      <c r="E63" s="7">
        <f>+D17*0.1</f>
        <v>239200</v>
      </c>
    </row>
    <row r="64">
      <c r="B64" s="6" t="str">
        <v>de control</v>
      </c>
      <c r="C64" s="9" t="str">
        <v>Limite superior de Crédito segun ingresos netos vigentes</v>
      </c>
      <c r="E64" s="7">
        <f>D17*10</f>
        <v>23920000</v>
      </c>
    </row>
    <row r="65">
      <c r="C65" s="9" t="str">
        <v>Minimo disponible para imprevistos</v>
      </c>
      <c r="E65" s="7">
        <f>+D17*0.08</f>
        <v>191360</v>
      </c>
    </row>
    <row r="66">
      <c r="C66" s="9" t="str">
        <v>Ingreso mínimo requerido</v>
      </c>
      <c r="E66" s="41">
        <f>+E50/30%</f>
        <v>480378.7608288985</v>
      </c>
    </row>
    <row r="67">
      <c r="C67" s="9" t="str">
        <v>Maximo descuento por Libranza permitido</v>
      </c>
      <c r="E67" s="34">
        <f>(D10+D11)*0.42</f>
        <v>1092000</v>
      </c>
    </row>
    <row r="68" ht="5.25" customHeight="1"/>
  </sheetData>
  <mergeCells count="12">
    <mergeCell ref="C48:D48"/>
    <mergeCell ref="B1:E1"/>
    <mergeCell ref="B2:E2"/>
    <mergeCell ref="B7:C7"/>
    <mergeCell ref="B10:B17"/>
    <mergeCell ref="B19:B26"/>
    <mergeCell ref="B28:C28"/>
    <mergeCell ref="B29:B34"/>
    <mergeCell ref="B35:B39"/>
    <mergeCell ref="B43:E43"/>
    <mergeCell ref="C46:D46"/>
    <mergeCell ref="C47:D47"/>
  </mergeCells>
  <pageMargins left="0.5118110236220472" right="0.5118110236220472" top="0.9448818897637796" bottom="0.5511811023622047" header="0.31496062992125984" footer="0.31496062992125984"/>
  <ignoredErrors>
    <ignoredError numberStoredAsText="1" sqref="B1:H68"/>
  </ignoredErrors>
</worksheet>
</file>

<file path=xl/worksheets/sheet4.xml><?xml version="1.0" encoding="utf-8"?>
<worksheet xmlns="http://schemas.openxmlformats.org/spreadsheetml/2006/main" xmlns:r="http://schemas.openxmlformats.org/officeDocument/2006/relationships">
  <dimension ref="B2:H32"/>
  <sheetViews>
    <sheetView workbookViewId="0" rightToLeft="0"/>
  </sheetViews>
  <cols>
    <col min="1" max="1" customWidth="1" width="2.7109375"/>
    <col min="2" max="2" customWidth="1" width="28.7109375"/>
    <col min="3" max="3" customWidth="1" width="21.28515625"/>
    <col min="4" max="4" customWidth="1" width="15.42578125"/>
    <col min="5" max="5" customWidth="1" width="11"/>
    <col min="6" max="6" customWidth="1" width="10"/>
    <col min="7" max="7" customWidth="1" width="14.5703125"/>
    <col min="8" max="8" customWidth="1" width="2.7109375"/>
    <col min="9" max="9" customWidth="1" width="9.42578125"/>
    <col min="10" max="10" customWidth="1" width="10.85546875"/>
    <col min="11" max="11" customWidth="1" width="10.85546875"/>
    <col min="12" max="12" customWidth="1" width="10.85546875"/>
    <col min="13" max="13" customWidth="1" width="10.85546875"/>
    <col min="14" max="14" customWidth="1" width="10.85546875"/>
    <col min="15" max="15" customWidth="1" width="10.85546875"/>
    <col min="16" max="16" customWidth="1" width="10.85546875"/>
    <col min="17" max="17" customWidth="1" width="10.85546875"/>
    <col min="18" max="18" customWidth="1" width="10.85546875"/>
    <col min="19" max="19" customWidth="1" width="10.85546875"/>
    <col min="20" max="20" customWidth="1" width="10.85546875"/>
    <col min="21" max="21" customWidth="1" width="10.85546875"/>
    <col min="22" max="22" customWidth="1" width="10.85546875"/>
    <col min="23" max="23" customWidth="1" width="10.85546875"/>
    <col min="24" max="24" customWidth="1" width="10.85546875"/>
    <col min="25" max="25" customWidth="1" width="10.85546875"/>
    <col min="26" max="26" customWidth="1" width="10.85546875"/>
    <col min="27" max="27" customWidth="1" width="10.85546875"/>
    <col min="28" max="28" customWidth="1" width="10.85546875"/>
    <col min="29" max="29" customWidth="1" width="10.85546875"/>
    <col min="30" max="30" customWidth="1" width="10.85546875"/>
  </cols>
  <sheetData>
    <row r="2" ht="15" customHeight="1">
      <c r="B2" s="30" t="str">
        <v>HOJA DE ANALISIS</v>
      </c>
    </row>
    <row r="3" ht="6" customHeight="1"/>
    <row r="4">
      <c r="B4" s="43" t="str">
        <v>Solicitante</v>
      </c>
      <c r="C4" s="9" t="str">
        <f>+'Flujo Empleado'!C4</f>
        <v>VARGAS FERNANDEZ JAIME LUIS</v>
      </c>
      <c r="D4" s="43" t="str">
        <v>Entidad Trabajo</v>
      </c>
      <c r="E4" s="9" t="str">
        <f>+'Plan de pagos'!M8</f>
        <v>Seguridad privada</v>
      </c>
    </row>
    <row r="5">
      <c r="B5" s="43" t="str">
        <v>Doc de Identidad</v>
      </c>
      <c r="C5" s="9">
        <f>+'Flujo Empleado'!C5</f>
        <v>1073969021</v>
      </c>
      <c r="D5" s="43" t="str">
        <v>Cargo</v>
      </c>
      <c r="E5" s="9" t="str">
        <f>+'Plan de pagos'!M9</f>
        <v>Vigilancia</v>
      </c>
    </row>
    <row r="6">
      <c r="B6" s="43" t="str">
        <v>Destino del crédito</v>
      </c>
      <c r="C6" s="9" t="str">
        <f>+'Plan de pagos'!M7</f>
        <v>Mejoras de vivienda</v>
      </c>
      <c r="D6" s="43" t="str">
        <v>Linea</v>
      </c>
      <c r="E6" s="9" t="str">
        <f>+'Plan de pagos'!M10</f>
        <v>Nanocredito</v>
      </c>
    </row>
    <row r="7" ht="7.349999999999999" customHeight="1"/>
    <row r="8" ht="15" customHeight="1">
      <c r="B8" s="22" t="str">
        <v>Parametros aprobación o rechazo</v>
      </c>
    </row>
    <row r="9">
      <c r="B9" s="30" t="str">
        <v>Detalle</v>
      </c>
      <c r="C9" s="44" t="str">
        <v>Valor</v>
      </c>
      <c r="D9" s="44" t="str">
        <v>Decisión de Préstamo</v>
      </c>
    </row>
    <row r="10" ht="19.9" customHeight="1" xml:space="preserve">
      <c r="B10" s="6" t="str">
        <v>Puntaje Begini</v>
      </c>
      <c r="C10" s="34">
        <v>0</v>
      </c>
      <c r="D10" s="45" t="str" xml:space="preserve">
        <f xml:space="preserve">IF(C10=0,"No contesto",
IF(C10=1,"Riesgo más alto",
IF(C10=2,"Riesgo muy alto",
IF(C10=3,"Riesgo alto",
IF(C10=4,"Riesgo medio",
IF(C10=5,"Riesgo bajo",
IF(C10=6,"Riesgo muy bajo",
IF(C10=7,"Riesgo más bajo",
IF(C10=8,"No terminó","")))))))))</f>
        <v>No contesto</v>
      </c>
    </row>
    <row r="11" ht="19.9" customHeight="1">
      <c r="B11" s="6" t="str">
        <v>Puntaje en centrales de riesgo</v>
      </c>
      <c r="C11" s="46">
        <v>586</v>
      </c>
      <c r="D11" s="45" t="str">
        <f>+IF(C11&lt;500,"Rechazar",(IF(C11&lt;700,"Estudio",IF(C11&gt;=700,"Prestar",0))))</f>
        <v>Estudio</v>
      </c>
    </row>
    <row r="12" ht="19.9" customHeight="1">
      <c r="B12" s="6" t="str">
        <v>Quanto medio</v>
      </c>
      <c r="C12" s="34">
        <f>+'Flujo Empleado'!D10</f>
        <v>2600000</v>
      </c>
      <c r="D12" s="45" t="str">
        <f>+IF(C12&gt;=H12,"Prestar","Rechazado")</f>
        <v>Prestar</v>
      </c>
      <c r="H12" s="47">
        <v>1000000</v>
      </c>
    </row>
    <row r="13" ht="19.9" customHeight="1">
      <c r="B13" s="6" t="str">
        <v>Cuota nueva + total gastos</v>
      </c>
      <c r="C13" s="34">
        <f>+'Plan de pagos'!P19+'Flujo Empleado'!D26</f>
        <v>1575713.6282486697</v>
      </c>
      <c r="D13" s="45" t="str">
        <f>+IF(C13&lt;=C12,"Prestar","Rechazado")</f>
        <v>Prestar</v>
      </c>
    </row>
    <row r="14" ht="19.9" customHeight="1">
      <c r="B14" s="6" t="str">
        <v>Capacidad de pago</v>
      </c>
      <c r="C14" s="34">
        <f>+C12-C13</f>
        <v>1024286.3717513303</v>
      </c>
      <c r="D14" s="45" t="str">
        <f>+IF(C14&lt;=0,"Rechazado","Prestar")</f>
        <v>Prestar</v>
      </c>
    </row>
    <row r="15" ht="19.9" customHeight="1">
      <c r="B15" s="6" t="str">
        <v>Marcación de si cliente (empleado) es cotizante (Adress)</v>
      </c>
      <c r="C15" s="31" t="str">
        <v>SI</v>
      </c>
      <c r="D15" s="45" t="str">
        <f>+IF(C15="SI","Prestar","Rechazado")</f>
        <v>Prestar</v>
      </c>
    </row>
    <row r="16" ht="9" customHeight="1">
      <c r="G16" s="3" t="str">
        <v>Solicita un monto menor o igual a $</v>
      </c>
      <c r="H16" s="3" t="e">
        <f>IF(+MAX(#REF!)=0,"Rechazado", (+CONCATENATE(G16,+MAX(#REF!))))</f>
        <v>#REF!</v>
      </c>
    </row>
    <row r="17">
      <c r="H17" s="9" t="str">
        <v>SI</v>
      </c>
    </row>
    <row r="18">
      <c r="B18" s="30" t="str">
        <v>Detalle</v>
      </c>
      <c r="C18" s="44" t="str">
        <v>Valor</v>
      </c>
      <c r="D18" s="30" t="str">
        <v>Concepto de la solicitud - Ejecutivo de Cuenta</v>
      </c>
      <c r="H18" s="9" t="str">
        <v>NO</v>
      </c>
    </row>
    <row r="19" ht="29.649999999999995" customHeight="1" xml:space="preserve">
      <c r="B19" s="6" t="str">
        <v>Monto Solicitado</v>
      </c>
      <c r="C19" s="34">
        <f>+'Plan de pagos'!P13</f>
        <v>200000</v>
      </c>
      <c r="D19" s="9" t="str" xml:space="preserve">
        <v xml:space="preserve">Tipo crédito:_x000d_
Adres: Cotizante_x000d_
Validación de identidad_x000d_
Email:  jaluva1985@hotmail.com_x000d_
Dirección:  KR 102 25 12 PI 1 102_x000d_
Tel Cel:  3134218571_x000d_
Cuenta:3134218571_x000d_
Novedad: El cliente dice tener vivienda y vehiculo pero al hacer la respectiva consulta aparece que no cuenta con las dos_x000d_
Propiedades:_x000d_
Nota:</v>
      </c>
    </row>
    <row r="20" ht="29.649999999999995" customHeight="1">
      <c r="B20" s="6" t="str">
        <v>Monto Aprobado</v>
      </c>
      <c r="C20" s="34">
        <f>+'Plan de pagos'!P14</f>
        <v>200000</v>
      </c>
    </row>
    <row r="21" ht="29.649999999999995" customHeight="1">
      <c r="B21" s="6" t="str">
        <v xml:space="preserve">Compra de cartera </v>
      </c>
    </row>
    <row r="22" ht="29.649999999999995" customHeight="1">
      <c r="B22" s="6" t="str">
        <v>Descuentos</v>
      </c>
    </row>
    <row r="23" ht="29.649999999999995" customHeight="1">
      <c r="B23" s="6" t="str">
        <v>Neto a Desembolsar</v>
      </c>
      <c r="C23" s="34">
        <f>+C20-C21-C22</f>
        <v>200000</v>
      </c>
    </row>
    <row r="24" ht="5.45" customHeight="1"/>
    <row r="25">
      <c r="B25" s="30" t="str">
        <v>Concepto de la solicitud - Comité de Crédito</v>
      </c>
    </row>
    <row r="26"/>
    <row r="27"/>
    <row r="28"/>
    <row r="29"/>
    <row r="30"/>
    <row r="31"/>
    <row r="32" ht="15.75" customHeight="1">
      <c r="C32" s="9" t="str">
        <v>Fecha:</v>
      </c>
      <c r="E32" s="9" t="str">
        <v>Firmas</v>
      </c>
    </row>
  </sheetData>
  <mergeCells count="19">
    <mergeCell ref="B25:G25"/>
    <mergeCell ref="B26:G26"/>
    <mergeCell ref="B30:G30"/>
    <mergeCell ref="B31:G31"/>
    <mergeCell ref="B17:G17"/>
    <mergeCell ref="D18:G18"/>
    <mergeCell ref="D19:G23"/>
    <mergeCell ref="B2:G2"/>
    <mergeCell ref="E4:G4"/>
    <mergeCell ref="E5:G5"/>
    <mergeCell ref="E6:G6"/>
    <mergeCell ref="B8:G8"/>
    <mergeCell ref="D9:G9"/>
    <mergeCell ref="D11:G11"/>
    <mergeCell ref="D12:G12"/>
    <mergeCell ref="D13:G13"/>
    <mergeCell ref="D15:G15"/>
    <mergeCell ref="D14:G14"/>
    <mergeCell ref="D10:G10"/>
  </mergeCells>
  <pageMargins left="0.5118110236220472" right="0.5118110236220472" top="0.9448818897637796" bottom="0.5511811023622047" header="0.31496062992125984" footer="0.31496062992125984"/>
  <ignoredErrors>
    <ignoredError numberStoredAsText="1" sqref="B2:H32"/>
  </ignoredErrors>
</worksheet>
</file>

<file path=xl/worksheets/sheet5.xml><?xml version="1.0" encoding="utf-8"?>
<worksheet xmlns="http://schemas.openxmlformats.org/spreadsheetml/2006/main" xmlns:r="http://schemas.openxmlformats.org/officeDocument/2006/relationships">
  <dimension ref="B1:E20"/>
  <sheetViews>
    <sheetView workbookViewId="0" rightToLeft="0"/>
  </sheetViews>
  <cols>
    <col min="1" max="1" customWidth="1" width="6"/>
    <col min="2" max="2" customWidth="1" width="13.5703125"/>
    <col min="3" max="3" customWidth="1" width="71"/>
    <col min="4" max="4" customWidth="1" width="2.7109375"/>
    <col min="5" max="5" customWidth="1" width="41.85546875" hidden="true"/>
  </cols>
  <sheetData>
    <row r="1" ht="14.25" customHeight="1"/>
    <row r="2">
      <c r="B2" s="3" t="str">
        <v>GUIÓN PRE-APROBADO FINAMIGO</v>
      </c>
    </row>
    <row r="3"/>
    <row r="4" ht="105" customHeight="1" xml:space="preserve">
      <c r="B4" s="3" t="str">
        <v>Saludo</v>
      </c>
      <c r="C4" s="3" t="str" xml:space="preserve">
        <v xml:space="preserve">Buen día sr(a)________________, Habla con __________ del aréa de crédito de Finalco SAS. _x000d_
¿Como se encuentra el día de hoy?_x000d_
Rta. Positiva: Me alegra _x000d_
Rta negativa: Entiendo_x000d_
El motivo de mi llamada, se debe a que ud. Solicito un préstamo Finamigo, el cual se encuentra en estado pre-aprobado</v>
      </c>
    </row>
    <row r="5"/>
    <row r="6" hidden="1" ht="75" customHeight="1" xml:space="preserve">
      <c r="B6" s="3" t="str">
        <v>Preguntas Reto</v>
      </c>
      <c r="C6" s="3" t="str" xml:space="preserve">
        <v xml:space="preserve">, por lo que requerimos realizar unas preguntas de seguridad, para validar su identidad._x000d_
Quisiera conocer si ud. dispone de unos minutos para atender la llamada, de salir positivas las respuestas procedemos a brindar las condiciones del crédito y firmar el pagaré digital.</v>
      </c>
    </row>
    <row r="7" hidden="1">
      <c r="C7" s="3" t="str">
        <v>Rta. Positiva: De acuerdo (realizar Preguntas reto)</v>
      </c>
    </row>
    <row r="8" hidden="1" ht="45" customHeight="1" xml:space="preserve">
      <c r="C8" s="3" t="str" xml:space="preserve">
        <v xml:space="preserve">Rta negativa: Entiendo, en que horario puedo llamarlo nuevamente._x000d_
Entonces me contactare en ese horario. Recuerde que hablo con ____________ de Finalco SAS. Que tenga buen resto de día.</v>
      </c>
    </row>
    <row r="9"/>
    <row r="10">
      <c r="B10" s="3" t="str">
        <v>condiciones de crédito en caso de que cambie el valor de la solicitud</v>
      </c>
      <c r="C10" s="3" t="str">
        <v xml:space="preserve">Cliente pasa el filtro, debe responder 3/4: </v>
      </c>
      <c r="E10" s="3" t="str">
        <v xml:space="preserve">Cliente NO pasa el filtro, debe responder 3/4: </v>
      </c>
    </row>
    <row r="11" ht="105" customHeight="1" xml:space="preserve">
      <c r="C11" s="3" t="str" xml:space="preserve">
        <v xml:space="preserve">Perfecto sr(a)________ las respuestas fueron correctas, por lo cual procedo a indicarle las condiciones del crédito: _x000d_
Monto:_________x000d_
Plazo:__________x000d_
Valor cuota:_______________x000d_
Fecha de pago:___________</v>
      </c>
      <c r="E11" s="3" t="str" xml:space="preserve">
        <v xml:space="preserve">Sr(a)________, lamento informarle que fallamos en las respuestas de seguridad, por lo cual el sistema rechaza automaticamente su solicitud de crédito. _x000d_
Recuerde que hablo con ____________ de Finalco SAS. Que tenga buen resto de día._x000d_
</v>
      </c>
    </row>
    <row r="12">
      <c r="C12" s="3" t="str">
        <v>¿Tiene alguna duda con la información brindada?</v>
      </c>
    </row>
    <row r="13"/>
    <row r="14" ht="45" customHeight="1" xml:space="preserve">
      <c r="B14" s="3" t="str">
        <v>Firma Pagaré</v>
      </c>
      <c r="C14" s="3" t="str" xml:space="preserve">
        <v xml:space="preserve">Rta. Positiva: Le confirmo el proceso para firmar el pagaré y aprobar la solicitud._x000d_
Rta negativa: Resolver inquietud</v>
      </c>
    </row>
    <row r="15"/>
    <row r="16" ht="75" customHeight="1" xml:space="preserve">
      <c r="C16" s="3" t="str" xml:space="preserve">
        <v xml:space="preserve">A su correo electronico le va a llegar en unos minutos un email para la firma de pagaré digital. A su whatsapp le voy a enviar el link del video donde explica como hacer el proceso, el cual es muy sencillo._x000d_
Inmediatamente quede firmado el documento, a ud. Le llega una copia a su correo.</v>
      </c>
      <c r="E16" s="3" t="str">
        <v>https://finalco.com.co/firma_pagare/</v>
      </c>
    </row>
    <row r="17" ht="47.25" customHeight="1" xml:space="preserve">
      <c r="B17" s="48" t="str" xml:space="preserve">
        <v xml:space="preserve">Confirmar la cuenta bancaria… Preguntar si tiene nequi o Bancolombia_x000d_
La cuenta si o si debe estar a nombre del cliente</v>
      </c>
    </row>
    <row r="18" ht="45" customHeight="1">
      <c r="B18" s="3" t="str">
        <v>Despedida</v>
      </c>
      <c r="C18" s="3" t="str">
        <v>Recuerde que una vez quede aprobado el préstamo le llegará un correo informandolo y cuando se realice el desembolso, le llegara una carta de bienvenida con la información del crédito y los canales de pago.</v>
      </c>
    </row>
    <row r="19">
      <c r="C19" s="3" t="str">
        <v>Le recuerdo tambien que este crédito es diferente al actual por lo que son dos cuotas apartes</v>
      </c>
    </row>
    <row r="20" ht="30" customHeight="1">
      <c r="C20" s="3" t="str">
        <v>Muchas gracias por atender mi llamada, recuerde que hablo con ____________ de Finalco SAS. Que tenga buen resto de día.</v>
      </c>
    </row>
  </sheetData>
  <mergeCells count="6">
    <mergeCell ref="B6:B8"/>
    <mergeCell ref="B10:B12"/>
    <mergeCell ref="B14:B16"/>
    <mergeCell ref="B18:B20"/>
    <mergeCell ref="B2:C2"/>
    <mergeCell ref="B17:C17"/>
  </mergeCells>
  <hyperlinks>
    <hyperlink ref="C7" location="Preguntas_Reto!A1"/>
    <hyperlink ref="E16" r:id="rId1"/>
  </hyperlinks>
  <pageMargins left="0.7" right="0.7" top="0.75" bottom="0.75" header="0.3" footer="0.3"/>
  <ignoredErrors>
    <ignoredError numberStoredAsText="1" sqref="B1:E20"/>
  </ignoredErrors>
</worksheet>
</file>

<file path=xl/worksheets/sheet6.xml><?xml version="1.0" encoding="utf-8"?>
<worksheet xmlns="http://schemas.openxmlformats.org/spreadsheetml/2006/main" xmlns:r="http://schemas.openxmlformats.org/officeDocument/2006/relationships">
  <dimension ref="B1:Q18"/>
  <sheetViews>
    <sheetView workbookViewId="0" rightToLeft="0"/>
  </sheetViews>
  <cols>
    <col min="1" max="1" customWidth="1" width="5"/>
    <col min="4" max="4" customWidth="1" width="11.42578125"/>
    <col min="5" max="5" customWidth="1" width="20.5703125"/>
    <col min="10" max="10" customWidth="1" width="21.85546875"/>
  </cols>
  <sheetData>
    <row r="1" ht="15.75" customHeight="1">
      <c r="Q1" s="3" t="str">
        <v>SI</v>
      </c>
    </row>
    <row r="2" ht="15.75" customHeight="1">
      <c r="B2" s="3" t="str">
        <v>Preguntas reto</v>
      </c>
      <c r="Q2" s="3" t="str">
        <v>NO</v>
      </c>
    </row>
    <row r="3" ht="62.25" customHeight="1" xml:space="preserve">
      <c r="B3" s="3" t="str" xml:space="preserve">
        <v xml:space="preserve">Consideraciones, siempre se debe preguntar:_x000d_
- Fecha de expedición de CC_x000d_
-3 preguntas de datacrédito (minimo una afirmativa y una negativa)</v>
      </c>
    </row>
    <row r="4" ht="46.5" customHeight="1">
      <c r="B4" s="3" t="str">
        <v>0. Me puede indicar por favor la fecha y lugar de expedición de su CC (cliente debe responder rapidamente)</v>
      </c>
      <c r="G4" s="3" t="str">
        <v>4. Me puede indicar por favor si ud. Tiene una cuenta activa de ahorros con el banco (Validar en datacrédito un banco con el que SI tenga producto). Rta Afirmativa</v>
      </c>
    </row>
    <row r="5" ht="15.75" customHeight="1"/>
    <row r="7" ht="66" customHeight="1">
      <c r="B7" s="3" t="str">
        <v>1.  Me puede indicar por favor si ud. Tiene una cuenta activa de ______ (crédito o TDC) con el banco (Validar en datacrédito un banco con el que SI tenga producto). Rta Afirmativa</v>
      </c>
      <c r="G7" s="3" t="str">
        <v>5. Me puede indicar por favor si ud. Tiene una cuenta activa con operador movil____ (validar en datacrédito con el que SI tenga producto). Rta afirmativa</v>
      </c>
    </row>
    <row r="8" ht="15.75" customHeight="1"/>
    <row r="10" ht="15" customHeight="1">
      <c r="B10" s="3" t="str">
        <v>2. Me puede indicar por favor si ud. Tiene una cuenta activa de______(crédito o TDC) con el banco (Validar en datacrédito un banco con el que NO tenga producto). Rta negativa</v>
      </c>
      <c r="G10" s="3" t="str">
        <v>6. Me puede indicar por favor si ud. Tiene una cuenta activa con operador movil____ (validar en datacrédito con el que NO tenga producto). Rta negativa</v>
      </c>
    </row>
    <row r="11" ht="27.75" customHeight="1"/>
    <row r="12" ht="15.75" customHeight="1"/>
    <row r="14" ht="45.75" customHeight="1">
      <c r="B14" s="3" t="str">
        <v>3. Me puede indicar por favor si ud. Tiene una cuenta activa de ahorros con el banco (Validar en datacrédito un banco con el que NO tenga producto). Rta negativa</v>
      </c>
    </row>
    <row r="15" ht="20.25" customHeight="1"/>
    <row r="16" ht="15.75" customHeight="1"/>
    <row r="18" ht="46.5" customHeight="1"/>
  </sheetData>
  <mergeCells count="17">
    <mergeCell ref="B16:E16"/>
    <mergeCell ref="G8:J8"/>
    <mergeCell ref="G5:J5"/>
    <mergeCell ref="B14:E15"/>
    <mergeCell ref="G4:J4"/>
    <mergeCell ref="B7:E7"/>
    <mergeCell ref="G10:J11"/>
    <mergeCell ref="B5:E5"/>
    <mergeCell ref="B8:E8"/>
    <mergeCell ref="B12:E12"/>
    <mergeCell ref="G14:J15"/>
    <mergeCell ref="G12:J12"/>
    <mergeCell ref="B2:J2"/>
    <mergeCell ref="B3:J3"/>
    <mergeCell ref="B4:E4"/>
    <mergeCell ref="G7:J7"/>
    <mergeCell ref="B10:E11"/>
  </mergeCells>
  <pageMargins left="0.7" right="0.7" top="0.75" bottom="0.75" header="0.3" footer="0.3"/>
  <ignoredErrors>
    <ignoredError numberStoredAsText="1" sqref="B1:Q18"/>
  </ignoredErrors>
</worksheet>
</file>

<file path=xl/worksheets/sheet7.xml><?xml version="1.0" encoding="utf-8"?>
<worksheet xmlns="http://schemas.openxmlformats.org/spreadsheetml/2006/main" xmlns:r="http://schemas.openxmlformats.org/officeDocument/2006/relationships">
  <dimension ref="A2:P49"/>
  <sheetViews>
    <sheetView workbookViewId="0" rightToLeft="0"/>
  </sheetViews>
  <cols>
    <col min="1" max="1" customWidth="1" width="3.85546875"/>
    <col min="2" max="2" customWidth="1" width="12.5703125"/>
    <col min="4" max="4" customWidth="1" width="9.7109375"/>
    <col min="5" max="5" customWidth="1" width="13.140625"/>
    <col min="7" max="7" customWidth="1" width="14.140625"/>
    <col min="16" max="16" customWidth="1" width="0" hidden="true"/>
  </cols>
  <sheetData>
    <row r="2">
      <c r="B2" s="3" t="str">
        <v>FORMATO DE REFERENCIACION</v>
      </c>
    </row>
    <row r="3"/>
    <row r="4">
      <c r="B4" s="3" t="str">
        <v>Asesor</v>
      </c>
    </row>
    <row r="5"/>
    <row r="6">
      <c r="B6" s="3" t="str">
        <v xml:space="preserve">Observaciones del Crédito: </v>
      </c>
    </row>
    <row r="7"/>
    <row r="8"/>
    <row r="9">
      <c r="B9" s="3" t="str">
        <v>Certificación Laboral</v>
      </c>
    </row>
    <row r="11">
      <c r="B11" s="3" t="str">
        <v>Nombre:</v>
      </c>
      <c r="E11" s="3" t="str">
        <v>Teléfono</v>
      </c>
    </row>
    <row r="13">
      <c r="B13" s="3" t="str">
        <v>Cargo:</v>
      </c>
      <c r="E13" s="3" t="str">
        <v>Observaciones:</v>
      </c>
    </row>
    <row r="15">
      <c r="B15" s="3" t="str">
        <v>Referencia 2.</v>
      </c>
    </row>
    <row r="17">
      <c r="B17" s="3" t="str">
        <v>Nombre</v>
      </c>
      <c r="E17" s="3" t="str">
        <v>Teléfono</v>
      </c>
    </row>
    <row r="18">
      <c r="P18" s="3" t="str">
        <v xml:space="preserve">propia </v>
      </c>
    </row>
    <row r="19">
      <c r="B19" s="3" t="str">
        <v>Parentesco</v>
      </c>
      <c r="P19" s="3" t="str">
        <v xml:space="preserve">Arrendada </v>
      </c>
    </row>
    <row r="20">
      <c r="P20" s="3" t="str">
        <v>Familiar</v>
      </c>
    </row>
    <row r="21">
      <c r="B21" s="3" t="str">
        <v>Hace cuanto conoce al señor (a)</v>
      </c>
    </row>
    <row r="22">
      <c r="A22" s="3" t="str">
        <v xml:space="preserve">En qué lugar vive:  </v>
      </c>
    </row>
    <row r="23">
      <c r="F23" s="3" t="str">
        <v xml:space="preserve">hace cuánto tiempo: </v>
      </c>
    </row>
    <row r="25">
      <c r="B25" s="3" t="str">
        <v>Cuál es la actividad principal:</v>
      </c>
      <c r="G25" s="3" t="str">
        <v>Empresa (si es empleado)</v>
      </c>
    </row>
    <row r="26"/>
    <row r="27">
      <c r="B27" s="3" t="str">
        <v>Cuantos hijos tiene</v>
      </c>
      <c r="G27" s="3" t="str">
        <v xml:space="preserve">de que edades </v>
      </c>
    </row>
    <row r="29">
      <c r="B29" s="3" t="str">
        <v>Vive en casa:</v>
      </c>
    </row>
    <row r="31">
      <c r="B31" s="3" t="str">
        <v>Qué referencia me podría dar del señor (a):</v>
      </c>
    </row>
    <row r="33">
      <c r="B33" s="3" t="str">
        <v>Referencia 1.</v>
      </c>
    </row>
    <row r="35">
      <c r="B35" s="3" t="str">
        <v>Nombre</v>
      </c>
      <c r="E35" s="3" t="str">
        <v>Teléfono</v>
      </c>
    </row>
    <row r="37">
      <c r="B37" s="3" t="str">
        <v>Parentesco</v>
      </c>
    </row>
    <row r="39">
      <c r="B39" s="3" t="str">
        <v>Hace cuanto conoce al señor (a)</v>
      </c>
    </row>
    <row r="40">
      <c r="A40" s="3" t="str">
        <v xml:space="preserve">En qué lugar vive:  </v>
      </c>
    </row>
    <row r="41">
      <c r="F41" s="3" t="str">
        <v xml:space="preserve">hace cuánto tiempo: </v>
      </c>
    </row>
    <row r="43">
      <c r="B43" s="3" t="str">
        <v>Cuál es la actividad principal:</v>
      </c>
      <c r="G43" s="3" t="str">
        <v>Empresa (si es empleado)</v>
      </c>
    </row>
    <row r="44"/>
    <row r="45">
      <c r="B45" s="3" t="str">
        <v>Cuantos hijos tiene</v>
      </c>
      <c r="G45" s="3" t="str">
        <v xml:space="preserve">de que edades </v>
      </c>
    </row>
    <row r="47">
      <c r="B47" s="3" t="str">
        <v>Vive en casa:</v>
      </c>
    </row>
    <row r="49">
      <c r="B49" s="3" t="str">
        <v>Qué referencia me podría dar del señor (a):</v>
      </c>
    </row>
  </sheetData>
  <mergeCells count="44">
    <mergeCell ref="C4:D4"/>
    <mergeCell ref="F31:J31"/>
    <mergeCell ref="F49:J49"/>
    <mergeCell ref="C11:D11"/>
    <mergeCell ref="F11:G11"/>
    <mergeCell ref="C13:D13"/>
    <mergeCell ref="F13:J13"/>
    <mergeCell ref="D6:J7"/>
    <mergeCell ref="B47:C47"/>
    <mergeCell ref="D47:E47"/>
    <mergeCell ref="B49:E49"/>
    <mergeCell ref="B45:C45"/>
    <mergeCell ref="D45:E45"/>
    <mergeCell ref="H45:I45"/>
    <mergeCell ref="A40:C41"/>
    <mergeCell ref="D41:E41"/>
    <mergeCell ref="F41:G41"/>
    <mergeCell ref="H41:I41"/>
    <mergeCell ref="B43:C43"/>
    <mergeCell ref="D43:E43"/>
    <mergeCell ref="H43:I43"/>
    <mergeCell ref="C35:D35"/>
    <mergeCell ref="F35:G35"/>
    <mergeCell ref="C37:D37"/>
    <mergeCell ref="B39:D39"/>
    <mergeCell ref="E39:F39"/>
    <mergeCell ref="B31:E31"/>
    <mergeCell ref="B27:C27"/>
    <mergeCell ref="D27:E27"/>
    <mergeCell ref="B29:C29"/>
    <mergeCell ref="D29:E29"/>
    <mergeCell ref="H27:I27"/>
    <mergeCell ref="H23:I23"/>
    <mergeCell ref="F23:G23"/>
    <mergeCell ref="A22:C23"/>
    <mergeCell ref="D25:E25"/>
    <mergeCell ref="B25:C25"/>
    <mergeCell ref="H25:I25"/>
    <mergeCell ref="C17:D17"/>
    <mergeCell ref="F17:G17"/>
    <mergeCell ref="C19:D19"/>
    <mergeCell ref="E21:F21"/>
    <mergeCell ref="D23:E23"/>
    <mergeCell ref="B21:D21"/>
  </mergeCells>
  <pageMargins left="0.7" right="0.7" top="0.75" bottom="0.75" header="0.3" footer="0.3"/>
  <ignoredErrors>
    <ignoredError numberStoredAsText="1" sqref="A2:P49"/>
  </ignoredErrors>
</worksheet>
</file>

<file path=xl/worksheets/sheet8.xml><?xml version="1.0" encoding="utf-8"?>
<worksheet xmlns="http://schemas.openxmlformats.org/spreadsheetml/2006/main" xmlns:r="http://schemas.openxmlformats.org/officeDocument/2006/relationships">
  <dimension ref="B1:I58"/>
  <sheetViews>
    <sheetView workbookViewId="0" rightToLeft="0"/>
  </sheetViews>
  <sheetData>
    <row r="1" ht="15.75" customHeight="1"/>
    <row r="2" ht="15.75" customHeight="1">
      <c r="B2" s="3" t="str">
        <v xml:space="preserve">Registro fotografico de Selfie </v>
      </c>
    </row>
    <row r="3"/>
    <row r="4">
      <c r="B4" s="3" t="str">
        <v>Hipervinculo</v>
      </c>
    </row>
    <row r="5"/>
    <row r="6"/>
    <row r="7"/>
    <row r="8"/>
    <row r="9"/>
    <row r="10"/>
    <row r="11"/>
    <row r="12"/>
    <row r="13"/>
    <row r="14"/>
    <row r="15"/>
    <row r="16"/>
    <row r="17"/>
    <row r="18"/>
    <row r="19"/>
    <row r="20" ht="15.75" customHeight="1"/>
    <row r="21" ht="15.75" customHeight="1">
      <c r="B21" s="3" t="str">
        <v>Cedula Cara 1</v>
      </c>
    </row>
    <row r="22"/>
    <row r="23"/>
    <row r="24"/>
    <row r="25"/>
    <row r="26"/>
    <row r="27"/>
    <row r="28"/>
    <row r="29"/>
    <row r="30"/>
    <row r="31"/>
    <row r="32"/>
    <row r="33"/>
    <row r="34"/>
    <row r="35"/>
    <row r="36"/>
    <row r="37"/>
    <row r="38"/>
    <row r="39" ht="15.75" customHeight="1"/>
    <row r="40" ht="15.75" customHeight="1">
      <c r="B40" s="3" t="str">
        <v>Cedula Cara 2</v>
      </c>
    </row>
    <row r="41"/>
    <row r="42"/>
    <row r="43"/>
    <row r="44"/>
    <row r="45"/>
    <row r="46"/>
    <row r="47"/>
    <row r="48"/>
    <row r="49"/>
    <row r="50"/>
    <row r="51"/>
    <row r="52"/>
    <row r="53"/>
    <row r="54"/>
    <row r="55"/>
    <row r="56"/>
    <row r="57"/>
    <row r="58" ht="15.75" customHeight="1"/>
  </sheetData>
  <mergeCells count="3">
    <mergeCell ref="B2:I2"/>
    <mergeCell ref="B21:I21"/>
    <mergeCell ref="B40:I40"/>
  </mergeCells>
  <pageMargins left="0.7" right="0.7" top="0.75" bottom="0.75" header="0.3" footer="0.3"/>
  <ignoredErrors>
    <ignoredError numberStoredAsText="1" sqref="B1:I58"/>
  </ignoredErrors>
</worksheet>
</file>

<file path=xl/worksheets/sheet9.xml><?xml version="1.0" encoding="utf-8"?>
<worksheet xmlns="http://schemas.openxmlformats.org/spreadsheetml/2006/main" xmlns:r="http://schemas.openxmlformats.org/officeDocument/2006/relationships">
  <dimension ref="B1:D35"/>
  <sheetViews>
    <sheetView workbookViewId="0" rightToLeft="0"/>
  </sheetViews>
  <cols>
    <col min="2" max="2" customWidth="1" width="26.7109375"/>
    <col min="3" max="3" customWidth="1" width="58.5703125"/>
  </cols>
  <sheetData>
    <row r="1" ht="15.75" customHeight="1"/>
    <row r="2" ht="15.75" customHeight="1">
      <c r="B2" s="3" t="str">
        <v xml:space="preserve">                                                          GUION PREGUNTAS RETO FINAMIGO</v>
      </c>
    </row>
    <row r="3" ht="15.75" customHeight="1"/>
    <row r="4" ht="75" customHeight="1" xml:space="preserve">
      <c r="B4" s="3" t="str">
        <v xml:space="preserve">                   SALUDO</v>
      </c>
      <c r="C4" s="3" t="str" xml:space="preserve">
        <v xml:space="preserve">Buen día sr(a)________________, Habla con __________ del área de crédito de Finalco SAS. _x000d_
¿Como se encuentra el día de hoy?_x000d_
Rta. Positiva: Me alegra _x000d_
Rta negativa: Entiendo</v>
      </c>
    </row>
    <row r="5">
      <c r="B5" s="3" t="str">
        <v xml:space="preserve">               </v>
      </c>
    </row>
    <row r="6">
      <c r="B6" s="3" t="str">
        <v xml:space="preserve">                  </v>
      </c>
      <c r="C6" s="3" t="str">
        <v>El motivo de mi llamada se debe a que usted solicito un préstamo Finamigo, y para el desembolso se hace necesario validar su identidad.</v>
      </c>
    </row>
    <row r="7" ht="30" customHeight="1"/>
    <row r="8" ht="32.65" customHeight="1">
      <c r="C8" s="3" t="str">
        <v xml:space="preserve">Le informamos que este procedimiento no tomara mucho tiempo y  será muy breve. </v>
      </c>
    </row>
    <row r="9" ht="81" customHeight="1">
      <c r="C9" s="3" t="str">
        <v>Le recomendamos igualmente preste atención a las preguntas y a las respuestas ya que de este proceso depende la aprobación final del crédito. En caso de que las preguntas quede mal contestadas, el área de gestión de riesgo se comunicara posteriormente con usted.</v>
      </c>
    </row>
    <row r="10" hidden="1" ht="15.75" customHeight="1"/>
    <row r="11" ht="24" customHeight="1"/>
    <row r="12">
      <c r="C12" s="3" t="str">
        <v>1. Me puede confirmar la fecha de expedición de su documento.</v>
      </c>
    </row>
    <row r="13" ht="15.75" customHeight="1">
      <c r="C13" s="3" t="str">
        <v xml:space="preserve">Rta: debe validar directamente en la cedula </v>
      </c>
    </row>
    <row r="14">
      <c r="C14" s="3" t="str">
        <v xml:space="preserve">2. ¿Con que banco usted tiene cuenta de ahorro? </v>
      </c>
    </row>
    <row r="15">
      <c r="B15" s="3" t="str">
        <v xml:space="preserve">                PREGUNTAS </v>
      </c>
      <c r="C15" s="3" t="str">
        <v>A.) Caja social.</v>
      </c>
    </row>
    <row r="16">
      <c r="C16" s="3" t="str">
        <v>B.) Bogota.</v>
      </c>
    </row>
    <row r="17">
      <c r="C17" s="3" t="str">
        <v>C.) Pichincha.</v>
      </c>
    </row>
    <row r="18">
      <c r="C18" s="3" t="str">
        <v>D.) Ninguna de las anteriores.</v>
      </c>
    </row>
    <row r="19" ht="15.75" customHeight="1">
      <c r="C19" s="3" t="str">
        <v>Rta:</v>
      </c>
    </row>
    <row r="20">
      <c r="C20" s="3" t="str">
        <v>3. ¿Con que banco tiene usted tarjeta de credito?</v>
      </c>
    </row>
    <row r="21">
      <c r="C21" s="3" t="str">
        <v xml:space="preserve">A.) Colpatria. </v>
      </c>
    </row>
    <row r="22">
      <c r="C22" s="3" t="str">
        <v>B.) Juriscop.</v>
      </c>
    </row>
    <row r="23">
      <c r="C23" s="3" t="str">
        <v xml:space="preserve">C.) Bancolombia. </v>
      </c>
    </row>
    <row r="24">
      <c r="C24" s="3" t="str">
        <v>D.) Ninguna de las anteriores.</v>
      </c>
    </row>
    <row r="25" ht="15.75" customHeight="1">
      <c r="C25" s="3" t="str">
        <v>Rta:</v>
      </c>
    </row>
    <row r="26" ht="30" customHeight="1">
      <c r="C26" s="3" t="str">
        <v>4.) Usted conoce o ha tenido contacto con alguna de las siguientes direcciones.?</v>
      </c>
    </row>
    <row r="27">
      <c r="C27" s="3" t="str">
        <v xml:space="preserve">Direccion 1: </v>
      </c>
    </row>
    <row r="28">
      <c r="C28" s="3" t="str">
        <v xml:space="preserve">Direccion 2: </v>
      </c>
    </row>
    <row r="29">
      <c r="C29" s="3" t="str">
        <v>Rta cliente:</v>
      </c>
    </row>
    <row r="30" ht="15.75" customHeight="1">
      <c r="C30" s="3" t="str">
        <v>Nota Finalco:</v>
      </c>
    </row>
    <row r="34">
      <c r="B34" s="3" t="str">
        <v>Video descarga NEQUI cetificado</v>
      </c>
      <c r="C34" s="3" t="str">
        <v>https://www.youtube.com/watch?v=aYt_zxMKKwM&amp;t=5s</v>
      </c>
    </row>
    <row r="35">
      <c r="B35" s="3" t="str">
        <v>Video descarga Daviplata cetificado</v>
      </c>
      <c r="C35" s="3" t="str">
        <v>https://www.youtube.com/watch?v=rIN4zjCPmq8</v>
      </c>
    </row>
  </sheetData>
  <mergeCells count="1">
    <mergeCell ref="C6:C7"/>
  </mergeCells>
  <hyperlinks>
    <hyperlink ref="C34" r:id="rId1"/>
    <hyperlink ref="C35" r:id="rId2"/>
  </hyperlinks>
  <pageMargins left="0.7" right="0.7" top="0.75" bottom="0.75" header="0.3" footer="0.3"/>
  <ignoredErrors>
    <ignoredError numberStoredAsText="1" sqref="B1:D35"/>
  </ignoredErrors>
</worksheet>
</file>

<file path=xl/worksheets/sheet10.xml><?xml version="1.0" encoding="utf-8"?>
<worksheet xmlns="http://schemas.openxmlformats.org/spreadsheetml/2006/main" xmlns:r="http://schemas.openxmlformats.org/officeDocument/2006/relationships">
  <dimension ref="B1:D9"/>
  <sheetViews>
    <sheetView workbookViewId="0" rightToLeft="0"/>
  </sheetViews>
  <cols>
    <col min="2" max="2" customWidth="1" width="15.140625"/>
    <col min="3" max="3" customWidth="1" width="14.28515625"/>
  </cols>
  <sheetData>
    <row r="1">
      <c r="B1" s="3" t="str">
        <v>Highest Risk</v>
      </c>
      <c r="C1" s="3">
        <v>0</v>
      </c>
      <c r="D1" s="3" t="str">
        <v>No contesto</v>
      </c>
    </row>
    <row r="2">
      <c r="B2" s="3" t="str">
        <v>Very High Risk</v>
      </c>
      <c r="C2" s="3">
        <v>1</v>
      </c>
      <c r="D2" s="3" t="str">
        <v>Riesgo mas alto</v>
      </c>
    </row>
    <row r="3">
      <c r="B3" s="3" t="str">
        <v>High Risk</v>
      </c>
      <c r="C3" s="3">
        <v>2</v>
      </c>
      <c r="D3" s="3" t="str">
        <v>Riesgo muy alto</v>
      </c>
    </row>
    <row r="4">
      <c r="B4" s="3" t="str">
        <v>Medium Risk</v>
      </c>
      <c r="C4" s="3">
        <v>3</v>
      </c>
      <c r="D4" s="3" t="str">
        <v>Riesgo alto</v>
      </c>
    </row>
    <row r="5">
      <c r="B5" s="3" t="str">
        <v>Low Risk</v>
      </c>
      <c r="C5" s="3">
        <v>4</v>
      </c>
      <c r="D5" s="3" t="str">
        <v>Riesgo Medio</v>
      </c>
    </row>
    <row r="6">
      <c r="B6" s="3" t="str">
        <v>Very Low Risk</v>
      </c>
      <c r="C6" s="3">
        <v>5</v>
      </c>
      <c r="D6" s="3" t="str">
        <v>Riesgo Bajo</v>
      </c>
    </row>
    <row r="7">
      <c r="B7" s="3" t="str">
        <v>Lowest Risk</v>
      </c>
      <c r="C7" s="3">
        <v>6</v>
      </c>
      <c r="D7" s="3" t="str">
        <v>Riesgo muy bajo</v>
      </c>
    </row>
    <row r="8">
      <c r="C8" s="3">
        <v>7</v>
      </c>
      <c r="D8" s="3" t="str">
        <v>Riesgo mas bajo</v>
      </c>
    </row>
    <row r="9">
      <c r="C9" s="3">
        <v>8</v>
      </c>
      <c r="D9" s="3" t="str">
        <v>No termino</v>
      </c>
    </row>
  </sheetData>
  <pageMargins left="0.7" right="0.7" top="0.75" bottom="0.75" header="0.3" footer="0.3"/>
  <ignoredErrors>
    <ignoredError numberStoredAsText="1" sqref="B1:D9"/>
  </ignoredErrors>
</worksheet>
</file>

<file path=xl/worksheets/sheet11.xml><?xml version="1.0" encoding="utf-8"?>
<worksheet xmlns="http://schemas.openxmlformats.org/spreadsheetml/2006/main" xmlns:r="http://schemas.openxmlformats.org/officeDocument/2006/relationships">
  <dimension ref="B1:H52"/>
  <sheetViews>
    <sheetView workbookViewId="0" rightToLeft="0"/>
  </sheetViews>
  <cols>
    <col min="1" max="1" customWidth="1" width="3.42578125"/>
    <col min="2" max="2" customWidth="1" width="20.42578125"/>
    <col min="3" max="3" customWidth="1" width="15"/>
    <col min="4" max="4" customWidth="1" width="10.85546875"/>
    <col min="5" max="5" customWidth="1" width="10.85546875"/>
    <col min="6" max="6" customWidth="1" width="10.85546875"/>
    <col min="7" max="7" customWidth="1" width="10.85546875"/>
    <col min="8" max="8" customWidth="1" width="13.140625"/>
    <col min="9" max="9" customWidth="1" width="10.85546875"/>
    <col min="10" max="10" customWidth="1" width="10.85546875"/>
    <col min="11" max="11" customWidth="1" width="10.85546875"/>
    <col min="12" max="12" customWidth="1" width="10.85546875"/>
    <col min="13" max="13" customWidth="1" width="10.85546875"/>
    <col min="14" max="14" customWidth="1" width="10.85546875"/>
    <col min="15" max="15" customWidth="1" width="10.85546875"/>
    <col min="16" max="16" customWidth="1" width="10.85546875"/>
    <col min="17" max="17" customWidth="1" width="10.85546875"/>
    <col min="18" max="18" customWidth="1" width="10.85546875"/>
    <col min="19" max="19" customWidth="1" width="10.85546875"/>
    <col min="20" max="20" customWidth="1" width="10.85546875"/>
    <col min="21" max="21" customWidth="1" width="10.85546875"/>
    <col min="22" max="22" customWidth="1" width="10.85546875"/>
    <col min="23" max="23" customWidth="1" width="10.85546875"/>
    <col min="24" max="24" customWidth="1" width="10.85546875"/>
    <col min="25" max="25" customWidth="1" width="10.85546875"/>
    <col min="26" max="26" customWidth="1" width="10.85546875"/>
    <col min="27" max="27" customWidth="1" width="10.85546875"/>
    <col min="28" max="28" customWidth="1" width="10.85546875"/>
    <col min="29" max="29" customWidth="1" width="10.85546875"/>
    <col min="30" max="30" customWidth="1" width="10.85546875"/>
  </cols>
  <sheetData>
    <row r="1" ht="12.75" customHeight="1"/>
    <row r="2" ht="12.75" customHeight="1">
      <c r="B2" s="30" t="str">
        <v>EVIDENCIA FOTOGRAFICA</v>
      </c>
    </row>
    <row r="3" ht="12.75" customHeight="1"/>
    <row r="4" ht="12.75" customHeight="1">
      <c r="B4" s="9" t="str">
        <v>Solicitante</v>
      </c>
      <c r="C4" s="9" t="str">
        <f>+'Plan de pagos'!M5</f>
        <v>VARGAS FERNANDEZ JAIME LUIS</v>
      </c>
    </row>
    <row r="5" ht="12.75" customHeight="1">
      <c r="B5" s="9" t="str">
        <v>Doc de Identidad</v>
      </c>
      <c r="C5" s="34">
        <f>+'Plan de pagos'!M6</f>
        <v>1073969021</v>
      </c>
    </row>
    <row r="6" ht="12.75" customHeight="1">
      <c r="B6" s="9" t="str">
        <v>Destino del crédito</v>
      </c>
      <c r="C6" s="9" t="str">
        <f>+'Plan de pagos'!M7</f>
        <v>Mejoras de vivienda</v>
      </c>
    </row>
    <row r="8">
      <c r="B8" s="9" t="str">
        <v>EVIDENCIA FOTOGRAFICA DEL SITIO DE TRABAJO Y DEL CLIENTE</v>
      </c>
    </row>
    <row r="45" ht="19.5" customHeight="1"/>
    <row r="52">
      <c r="B52" s="9" t="str">
        <v>MAPA DE UBICACIÓN DEL CLIENTE</v>
      </c>
    </row>
  </sheetData>
  <mergeCells count="3">
    <mergeCell ref="B2:H2"/>
    <mergeCell ref="B8:H8"/>
    <mergeCell ref="B52:H52"/>
  </mergeCells>
  <pageMargins left="0.7086614173228347" right="0.7086614173228347" top="0.9055118110236221" bottom="0.7480314960629921" header="0.31496062992125984" footer="0.31496062992125984"/>
  <ignoredErrors>
    <ignoredError numberStoredAsText="1" sqref="B1:H52"/>
  </ignoredErrors>
</worksheet>
</file>

<file path=docProps/app.xml><?xml version="1.0" encoding="utf-8"?>
<Properties xmlns="http://schemas.openxmlformats.org/officeDocument/2006/extended-properties" xmlns:vt="http://schemas.openxmlformats.org/officeDocument/2006/docPropsVTypes">
  <Application>SheetJS</Application>
  <AppVersion>16.0300</AppVersion>
  <DocSecurity>0</DocSecurity>
  <HyperlinksChanged>false</HyperlinksChanged>
  <SharedDoc>false</SharedDoc>
  <LinksUpToDate>false</LinksUpToDate>
  <ScaleCrop>false</ScaleCrop>
  <HeadingPairs>
    <vt:vector size="2" baseType="variant">
      <vt:variant>
        <vt:lpstr>Worksheets</vt:lpstr>
      </vt:variant>
      <vt:variant>
        <vt:i4>11</vt:i4>
      </vt:variant>
    </vt:vector>
  </HeadingPairs>
  <TitlesOfParts>
    <vt:vector size="11" baseType="lpstr">
      <vt:lpstr>Simulador</vt:lpstr>
      <vt:lpstr>Plan de pagos</vt:lpstr>
      <vt:lpstr>Flujo Empleado</vt:lpstr>
      <vt:lpstr>Analisis</vt:lpstr>
      <vt:lpstr>Guion</vt:lpstr>
      <vt:lpstr>Preguntas_Reto</vt:lpstr>
      <vt:lpstr>Referenciación</vt:lpstr>
      <vt:lpstr>Fotos</vt:lpstr>
      <vt:lpstr>Preguntas reto</vt:lpstr>
      <vt:lpstr>ListaDepegable</vt:lpstr>
      <vt:lpstr>Evidencia Fotografica</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2016-07-17T21:06:19Z</dcterms:created>
  <dcterms:modified xsi:type="dcterms:W3CDTF">2026-07-29T15:46:22Z</dcterms:modified>
  <cp:lastModifiedBy>Delco</cp:lastModifiedBy>
  <cp:lastPrinted>2022-07-11T16:55:39Z</cp:lastPrinted>
  <dc:creator>freddy</dc:creator>
</cp:coreProperties>
</file>